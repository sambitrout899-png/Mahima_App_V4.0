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source Plan" sheetId="2" state="visible" r:id="rId2"/>
    <sheet name="Cost Model" sheetId="3" state="visible" r:id="rId3"/>
    <sheet name="Platform Charges" sheetId="4" state="visible" r:id="rId4"/>
    <sheet name="AMC P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color rgb="00000000"/>
      <sz val="10"/>
    </font>
    <font>
      <name val="Calibri"/>
      <color rgb="0064748B"/>
      <sz val="10"/>
    </font>
    <font>
      <name val="Calibri"/>
      <b val="1"/>
      <color rgb="00008000"/>
      <sz val="10"/>
    </font>
    <font>
      <name val="Calibri"/>
      <color rgb="00FFFFFF"/>
      <sz val="8"/>
    </font>
    <font>
      <name val="Calibri"/>
      <b val="1"/>
      <color rgb="00FFFFFF"/>
      <sz val="9"/>
    </font>
    <font>
      <name val="Calibri"/>
      <b val="1"/>
      <color rgb="00F0A500"/>
      <sz val="10"/>
    </font>
    <font>
      <name val="Calibri"/>
      <color rgb="00008000"/>
      <sz val="10"/>
    </font>
    <font>
      <name val="Calibri"/>
      <i val="1"/>
      <color rgb="0064748B"/>
      <sz val="10"/>
    </font>
    <font>
      <name val="Calibri"/>
      <b val="1"/>
      <color rgb="00059669"/>
      <sz val="10"/>
    </font>
    <font>
      <name val="Calibri"/>
      <b val="1"/>
      <color rgb="001B2F6E"/>
      <sz val="11"/>
    </font>
    <font>
      <name val="Calibri"/>
      <b val="1"/>
      <color rgb="001B2F6E"/>
      <sz val="14"/>
    </font>
    <font>
      <name val="Calibri"/>
      <b val="1"/>
      <color rgb="00F0A500"/>
      <sz val="11"/>
    </font>
    <font>
      <name val="Calibri"/>
      <b val="1"/>
      <color rgb="00F0A500"/>
      <sz val="13"/>
    </font>
    <font>
      <name val="Calibri"/>
      <color rgb="00FFFFFF"/>
      <sz val="10"/>
    </font>
    <font>
      <name val="Calibri"/>
      <color rgb="00059669"/>
      <sz val="10"/>
    </font>
    <font>
      <name val="Calibri"/>
      <b val="1"/>
      <color rgb="001B2F6E"/>
      <sz val="10"/>
    </font>
    <font>
      <name val="Calibri"/>
      <b val="1"/>
      <color rgb="001B2F6E"/>
      <sz val="12"/>
    </font>
    <font>
      <name val="Calibri"/>
      <b val="1"/>
      <color rgb="00F0A500"/>
      <sz val="9"/>
    </font>
  </fonts>
  <fills count="15">
    <fill>
      <patternFill/>
    </fill>
    <fill>
      <patternFill patternType="gray125"/>
    </fill>
    <fill>
      <patternFill patternType="solid">
        <fgColor rgb="001B2F6E"/>
      </patternFill>
    </fill>
    <fill>
      <patternFill patternType="solid">
        <fgColor rgb="002A4090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D49200"/>
      </patternFill>
    </fill>
    <fill>
      <patternFill patternType="solid">
        <fgColor rgb="00FEF9C3"/>
      </patternFill>
    </fill>
    <fill>
      <patternFill patternType="solid">
        <fgColor rgb="00FFFBEB"/>
      </patternFill>
    </fill>
    <fill>
      <patternFill patternType="solid">
        <fgColor rgb="00F0A500"/>
      </patternFill>
    </fill>
    <fill>
      <patternFill patternType="solid">
        <fgColor rgb="000D9488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1B2F6E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13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16" fillId="11" borderId="1" applyAlignment="1" pivotButton="0" quotePrefix="0" xfId="0">
      <alignment horizontal="left" vertical="center"/>
    </xf>
    <xf numFmtId="164" fontId="17" fillId="11" borderId="1" applyAlignment="1" pivotButton="0" quotePrefix="0" xfId="0">
      <alignment horizontal="right" vertical="center"/>
    </xf>
    <xf numFmtId="0" fontId="14" fillId="11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/>
    </xf>
    <xf numFmtId="164" fontId="19" fillId="2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164" fontId="2" fillId="12" borderId="1" applyAlignment="1" pivotButton="0" quotePrefix="0" xfId="0">
      <alignment horizontal="right" vertical="center"/>
    </xf>
    <xf numFmtId="0" fontId="20" fillId="12" borderId="1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  <xf numFmtId="164" fontId="15" fillId="4" borderId="1" applyAlignment="1" pivotButton="0" quotePrefix="0" xfId="0">
      <alignment horizontal="right" vertical="center"/>
    </xf>
    <xf numFmtId="0" fontId="21" fillId="4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164" fontId="23" fillId="11" borderId="1" applyAlignment="1" pivotButton="0" quotePrefix="0" xfId="0">
      <alignment horizontal="right" vertical="center"/>
    </xf>
    <xf numFmtId="0" fontId="24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21" fillId="4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4" borderId="1" pivotButton="0" quotePrefix="0" xfId="0"/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14" borderId="1" applyAlignment="1" pivotButton="0" quotePrefix="0" xfId="0">
      <alignment horizontal="left" vertical="center"/>
    </xf>
    <xf numFmtId="164" fontId="6" fillId="14" borderId="1" applyAlignment="1" pivotButton="0" quotePrefix="0" xfId="0">
      <alignment horizontal="right" vertical="center"/>
    </xf>
    <xf numFmtId="0" fontId="14" fillId="14" borderId="1" applyAlignment="1" pivotButton="0" quotePrefix="0" xfId="0">
      <alignment horizontal="lef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MAHIMA ANM PLATFORM — PROJECT ASSUMPTIONS</t>
        </is>
      </c>
    </row>
    <row r="2">
      <c r="A2" s="2" t="inlineStr">
        <is>
          <t>All rates are USD per day (8-hour working day)</t>
        </is>
      </c>
    </row>
    <row r="3" ht="18" customHeight="1">
      <c r="A3" s="3" t="inlineStr">
        <is>
          <t>Colour key:  🔵 Blue = hardcoded input  |  ⚫ Black = formula  |  🟢 Green = cross-sheet reference</t>
        </is>
      </c>
    </row>
    <row r="5">
      <c r="A5" s="4" t="inlineStr">
        <is>
          <t>RESOURCE RATE CARD</t>
        </is>
      </c>
    </row>
    <row r="6">
      <c r="A6" s="5" t="inlineStr">
        <is>
          <t>Role</t>
        </is>
      </c>
      <c r="B6" s="5" t="inlineStr">
        <is>
          <t>Day Rate (USD)</t>
        </is>
      </c>
      <c r="C6" s="5" t="inlineStr">
        <is>
          <t>Type</t>
        </is>
      </c>
      <c r="D6" s="5" t="inlineStr">
        <is>
          <t>Notes</t>
        </is>
      </c>
    </row>
    <row r="7">
      <c r="A7" s="6" t="inlineStr">
        <is>
          <t>Project Manager</t>
        </is>
      </c>
      <c r="B7" s="7" t="n">
        <v>900</v>
      </c>
      <c r="C7" s="8" t="inlineStr">
        <is>
          <t>Management</t>
        </is>
      </c>
      <c r="D7" s="9" t="inlineStr">
        <is>
          <t>Full 8-week engagement</t>
        </is>
      </c>
    </row>
    <row r="8">
      <c r="A8" s="10" t="inlineStr">
        <is>
          <t>Solution Architect</t>
        </is>
      </c>
      <c r="B8" s="11" t="n">
        <v>1200</v>
      </c>
      <c r="C8" s="12" t="inlineStr">
        <is>
          <t>Technical</t>
        </is>
      </c>
      <c r="D8" s="13" t="inlineStr">
        <is>
          <t>Front-loaded Week 1–2</t>
        </is>
      </c>
    </row>
    <row r="9">
      <c r="A9" s="6" t="inlineStr">
        <is>
          <t>UI/UX Designer</t>
        </is>
      </c>
      <c r="B9" s="7" t="n">
        <v>800</v>
      </c>
      <c r="C9" s="8" t="inlineStr">
        <is>
          <t>Design</t>
        </is>
      </c>
      <c r="D9" s="9" t="inlineStr">
        <is>
          <t>Phase 1–2 only</t>
        </is>
      </c>
    </row>
    <row r="10">
      <c r="A10" s="10" t="inlineStr">
        <is>
          <t>Full-Stack Dev (.NET 8)</t>
        </is>
      </c>
      <c r="B10" s="11" t="n">
        <v>950</v>
      </c>
      <c r="C10" s="12" t="inlineStr">
        <is>
          <t>Development</t>
        </is>
      </c>
      <c r="D10" s="13" t="inlineStr">
        <is>
          <t>ASP.NET Core, C#, EF Core</t>
        </is>
      </c>
    </row>
    <row r="11">
      <c r="A11" s="6" t="inlineStr">
        <is>
          <t>Mobile Developer</t>
        </is>
      </c>
      <c r="B11" s="7" t="n">
        <v>950</v>
      </c>
      <c r="C11" s="8" t="inlineStr">
        <is>
          <t>Development</t>
        </is>
      </c>
      <c r="D11" s="9" t="inlineStr">
        <is>
          <t>React+Capacitor, iOS build</t>
        </is>
      </c>
    </row>
    <row r="12">
      <c r="A12" s="10" t="inlineStr">
        <is>
          <t>DevOps Engineer</t>
        </is>
      </c>
      <c r="B12" s="11" t="n">
        <v>850</v>
      </c>
      <c r="C12" s="12" t="inlineStr">
        <is>
          <t>Infrastructure</t>
        </is>
      </c>
      <c r="D12" s="13" t="inlineStr">
        <is>
          <t>AWS, CI/CD, Nginx</t>
        </is>
      </c>
    </row>
    <row r="13">
      <c r="A13" s="6" t="inlineStr">
        <is>
          <t>QA Engineer</t>
        </is>
      </c>
      <c r="B13" s="7" t="n">
        <v>750</v>
      </c>
      <c r="C13" s="8" t="inlineStr">
        <is>
          <t>Quality</t>
        </is>
      </c>
      <c r="D13" s="9" t="inlineStr">
        <is>
          <t>Test automation + UAT</t>
        </is>
      </c>
    </row>
    <row r="15">
      <c r="A15" s="4" t="inlineStr">
        <is>
          <t>PROJECT SETTINGS</t>
        </is>
      </c>
    </row>
    <row r="16">
      <c r="A16" s="5" t="inlineStr">
        <is>
          <t>Parameter</t>
        </is>
      </c>
      <c r="B16" s="5" t="inlineStr">
        <is>
          <t>Value</t>
        </is>
      </c>
      <c r="C16" s="5" t="inlineStr">
        <is>
          <t>Unit</t>
        </is>
      </c>
      <c r="D16" s="5" t="inlineStr">
        <is>
          <t>Notes</t>
        </is>
      </c>
    </row>
    <row r="17">
      <c r="A17" s="6" t="inlineStr">
        <is>
          <t>Implementation Weeks</t>
        </is>
      </c>
      <c r="B17" s="14" t="n">
        <v>8</v>
      </c>
      <c r="C17" s="15" t="inlineStr">
        <is>
          <t>Weeks</t>
        </is>
      </c>
      <c r="D17" s="9" t="inlineStr">
        <is>
          <t>Core delivery weeks</t>
        </is>
      </c>
    </row>
    <row r="18">
      <c r="A18" s="10" t="inlineStr">
        <is>
          <t>Hypercare Weeks</t>
        </is>
      </c>
      <c r="B18" s="16" t="n">
        <v>2</v>
      </c>
      <c r="C18" s="17" t="inlineStr">
        <is>
          <t>Weeks</t>
        </is>
      </c>
      <c r="D18" s="13" t="inlineStr">
        <is>
          <t>Free post go-live support</t>
        </is>
      </c>
    </row>
    <row r="19">
      <c r="A19" s="6" t="inlineStr">
        <is>
          <t>Total Project Duration</t>
        </is>
      </c>
      <c r="B19" s="18">
        <f>B17+B18</f>
        <v/>
      </c>
      <c r="C19" s="15" t="inlineStr">
        <is>
          <t>Weeks</t>
        </is>
      </c>
      <c r="D19" s="9" t="inlineStr">
        <is>
          <t>Implementation + Hypercare</t>
        </is>
      </c>
    </row>
    <row r="20">
      <c r="A20" s="10" t="inlineStr">
        <is>
          <t>Working Days per Week</t>
        </is>
      </c>
      <c r="B20" s="16" t="n">
        <v>5</v>
      </c>
      <c r="C20" s="17" t="inlineStr">
        <is>
          <t>Days</t>
        </is>
      </c>
      <c r="D20" s="13" t="inlineStr">
        <is>
          <t>Mon–Fri</t>
        </is>
      </c>
    </row>
    <row r="21">
      <c r="A21" s="6" t="inlineStr">
        <is>
          <t>Profit Margin Target</t>
        </is>
      </c>
      <c r="B21" s="19" t="n">
        <v>0.5</v>
      </c>
      <c r="C21" s="15" t="inlineStr">
        <is>
          <t>%</t>
        </is>
      </c>
      <c r="D21" s="9" t="inlineStr">
        <is>
          <t>50% markup on cost</t>
        </is>
      </c>
    </row>
    <row r="22">
      <c r="A22" s="10" t="inlineStr">
        <is>
          <t>Client Price (formula)</t>
        </is>
      </c>
      <c r="B22" s="20">
        <f>'Cost Model'!B14*(1+B21)</f>
        <v/>
      </c>
      <c r="C22" s="17" t="inlineStr">
        <is>
          <t>USD</t>
        </is>
      </c>
      <c r="D22" s="13" t="inlineStr">
        <is>
          <t>Auto-calculated</t>
        </is>
      </c>
    </row>
  </sheetData>
  <mergeCells count="5">
    <mergeCell ref="A1:D1"/>
    <mergeCell ref="A5:D5"/>
    <mergeCell ref="A3:D3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0" customWidth="1" min="14" max="14"/>
    <col width="14" customWidth="1" min="15" max="15"/>
    <col width="14" customWidth="1" min="16" max="16"/>
  </cols>
  <sheetData>
    <row r="1">
      <c r="A1" s="1" t="inlineStr">
        <is>
          <t>RESOURCE LOADING MATRIX — 8-WEEK IMPLEMENTATION + 2-WEEK HYPERCARE</t>
        </is>
      </c>
    </row>
    <row r="2">
      <c r="A2" s="21" t="inlineStr">
        <is>
          <t>Blue=input | Black=formula | HC=Hypercare</t>
        </is>
      </c>
      <c r="C2" s="22" t="inlineStr">
        <is>
          <t>◀  IMPLEMENTATION PHASES  ▶</t>
        </is>
      </c>
      <c r="K2" s="23" t="inlineStr">
        <is>
          <t>HYPERCARE</t>
        </is>
      </c>
      <c r="M2" s="24" t="inlineStr">
        <is>
          <t>TOTALS</t>
        </is>
      </c>
    </row>
    <row r="3">
      <c r="A3" s="24" t="inlineStr">
        <is>
          <t>Role</t>
        </is>
      </c>
      <c r="B3" s="24" t="inlineStr">
        <is>
          <t>Day Rate</t>
        </is>
      </c>
      <c r="C3" s="24" t="inlineStr">
        <is>
          <t>W1</t>
        </is>
      </c>
      <c r="D3" s="24" t="inlineStr">
        <is>
          <t>W2</t>
        </is>
      </c>
      <c r="E3" s="24" t="inlineStr">
        <is>
          <t>W3</t>
        </is>
      </c>
      <c r="F3" s="24" t="inlineStr">
        <is>
          <t>W4</t>
        </is>
      </c>
      <c r="G3" s="24" t="inlineStr">
        <is>
          <t>W5</t>
        </is>
      </c>
      <c r="H3" s="24" t="inlineStr">
        <is>
          <t>W6</t>
        </is>
      </c>
      <c r="I3" s="24" t="inlineStr">
        <is>
          <t>W7</t>
        </is>
      </c>
      <c r="J3" s="24" t="inlineStr">
        <is>
          <t>W8</t>
        </is>
      </c>
      <c r="K3" s="24" t="inlineStr">
        <is>
          <t>HC1</t>
        </is>
      </c>
      <c r="L3" s="24" t="inlineStr">
        <is>
          <t>HC2</t>
        </is>
      </c>
      <c r="M3" s="24" t="inlineStr">
        <is>
          <t>Total Days</t>
        </is>
      </c>
      <c r="N3" s="24" t="inlineStr">
        <is>
          <t>Cost (USD)</t>
        </is>
      </c>
      <c r="O3" s="24" t="inlineStr">
        <is>
          <t>Note</t>
        </is>
      </c>
    </row>
    <row r="4">
      <c r="A4" s="6" t="inlineStr">
        <is>
          <t>Project Manager</t>
        </is>
      </c>
      <c r="B4" s="7" t="n">
        <v>900</v>
      </c>
      <c r="C4" s="25" t="n">
        <v>5</v>
      </c>
      <c r="D4" s="25" t="n">
        <v>5</v>
      </c>
      <c r="E4" s="25" t="n">
        <v>3</v>
      </c>
      <c r="F4" s="25" t="n">
        <v>2</v>
      </c>
      <c r="G4" s="25" t="n">
        <v>2</v>
      </c>
      <c r="H4" s="25" t="n">
        <v>2</v>
      </c>
      <c r="I4" s="25" t="n">
        <v>2</v>
      </c>
      <c r="J4" s="25" t="n">
        <v>3</v>
      </c>
      <c r="K4" s="26" t="n">
        <v>2</v>
      </c>
      <c r="L4" s="26" t="n">
        <v>1</v>
      </c>
      <c r="M4" s="27">
        <f>SUM(C4:L4)</f>
        <v/>
      </c>
      <c r="N4" s="28">
        <f>B4*M4</f>
        <v/>
      </c>
      <c r="O4" s="9" t="inlineStr">
        <is>
          <t>Full-project engagement</t>
        </is>
      </c>
    </row>
    <row r="5">
      <c r="A5" s="10" t="inlineStr">
        <is>
          <t>Solution Architect</t>
        </is>
      </c>
      <c r="B5" s="11" t="n">
        <v>1200</v>
      </c>
      <c r="C5" s="29" t="n">
        <v>4</v>
      </c>
      <c r="D5" s="29" t="n">
        <v>3</v>
      </c>
      <c r="E5" s="29" t="n">
        <v>1</v>
      </c>
      <c r="F5" s="30" t="n"/>
      <c r="G5" s="30" t="n"/>
      <c r="H5" s="30" t="n"/>
      <c r="I5" s="30" t="n"/>
      <c r="J5" s="29" t="n">
        <v>1</v>
      </c>
      <c r="K5" s="31" t="n"/>
      <c r="L5" s="31" t="n"/>
      <c r="M5" s="32">
        <f>SUM(C5:L5)</f>
        <v/>
      </c>
      <c r="N5" s="33">
        <f>B5*M5</f>
        <v/>
      </c>
      <c r="O5" s="13" t="inlineStr">
        <is>
          <t>Front-loaded Weeks 1–2</t>
        </is>
      </c>
    </row>
    <row r="6">
      <c r="A6" s="6" t="inlineStr">
        <is>
          <t>UI/UX Designer</t>
        </is>
      </c>
      <c r="B6" s="7" t="n">
        <v>800</v>
      </c>
      <c r="C6" s="25" t="n">
        <v>4</v>
      </c>
      <c r="D6" s="25" t="n">
        <v>5</v>
      </c>
      <c r="E6" s="25" t="n">
        <v>3</v>
      </c>
      <c r="F6" s="25" t="n">
        <v>1</v>
      </c>
      <c r="G6" s="34" t="n"/>
      <c r="H6" s="34" t="n"/>
      <c r="I6" s="34" t="n"/>
      <c r="J6" s="34" t="n"/>
      <c r="K6" s="35" t="n"/>
      <c r="L6" s="35" t="n"/>
      <c r="M6" s="27">
        <f>SUM(C6:L6)</f>
        <v/>
      </c>
      <c r="N6" s="28">
        <f>B6*M6</f>
        <v/>
      </c>
      <c r="O6" s="9" t="inlineStr">
        <is>
          <t>Phases 1–2 only</t>
        </is>
      </c>
    </row>
    <row r="7">
      <c r="A7" s="10" t="inlineStr">
        <is>
          <t>Full-Stack Dev (.NET 8)</t>
        </is>
      </c>
      <c r="B7" s="11" t="n">
        <v>950</v>
      </c>
      <c r="C7" s="29" t="n">
        <v>1</v>
      </c>
      <c r="D7" s="29" t="n">
        <v>2</v>
      </c>
      <c r="E7" s="29" t="n">
        <v>5</v>
      </c>
      <c r="F7" s="29" t="n">
        <v>5</v>
      </c>
      <c r="G7" s="29" t="n">
        <v>5</v>
      </c>
      <c r="H7" s="29" t="n">
        <v>3</v>
      </c>
      <c r="I7" s="29" t="n">
        <v>1</v>
      </c>
      <c r="J7" s="30" t="n"/>
      <c r="K7" s="36" t="n">
        <v>1</v>
      </c>
      <c r="L7" s="31" t="n"/>
      <c r="M7" s="32">
        <f>SUM(C7:L7)</f>
        <v/>
      </c>
      <c r="N7" s="33">
        <f>B7*M7</f>
        <v/>
      </c>
      <c r="O7" s="13" t="inlineStr">
        <is>
          <t>Core customisation</t>
        </is>
      </c>
    </row>
    <row r="8">
      <c r="A8" s="6" t="inlineStr">
        <is>
          <t>Mobile Developer</t>
        </is>
      </c>
      <c r="B8" s="7" t="n">
        <v>950</v>
      </c>
      <c r="C8" s="34" t="n"/>
      <c r="D8" s="25" t="n">
        <v>1</v>
      </c>
      <c r="E8" s="25" t="n">
        <v>2</v>
      </c>
      <c r="F8" s="25" t="n">
        <v>3</v>
      </c>
      <c r="G8" s="25" t="n">
        <v>4</v>
      </c>
      <c r="H8" s="25" t="n">
        <v>5</v>
      </c>
      <c r="I8" s="25" t="n">
        <v>3</v>
      </c>
      <c r="J8" s="25" t="n">
        <v>1</v>
      </c>
      <c r="K8" s="26" t="n">
        <v>1</v>
      </c>
      <c r="L8" s="26" t="n">
        <v>1</v>
      </c>
      <c r="M8" s="27">
        <f>SUM(C8:L8)</f>
        <v/>
      </c>
      <c r="N8" s="28">
        <f>B8*M8</f>
        <v/>
      </c>
      <c r="O8" s="9" t="inlineStr">
        <is>
          <t>iOS + Android Capacitor</t>
        </is>
      </c>
    </row>
    <row r="9">
      <c r="A9" s="10" t="inlineStr">
        <is>
          <t>DevOps Engineer</t>
        </is>
      </c>
      <c r="B9" s="11" t="n">
        <v>850</v>
      </c>
      <c r="C9" s="29" t="n">
        <v>3</v>
      </c>
      <c r="D9" s="29" t="n">
        <v>2</v>
      </c>
      <c r="E9" s="29" t="n">
        <v>1</v>
      </c>
      <c r="F9" s="29" t="n">
        <v>1</v>
      </c>
      <c r="G9" s="29" t="n">
        <v>1</v>
      </c>
      <c r="H9" s="29" t="n">
        <v>1</v>
      </c>
      <c r="I9" s="29" t="n">
        <v>2</v>
      </c>
      <c r="J9" s="29" t="n">
        <v>3</v>
      </c>
      <c r="K9" s="36" t="n">
        <v>2</v>
      </c>
      <c r="L9" s="36" t="n">
        <v>1</v>
      </c>
      <c r="M9" s="32">
        <f>SUM(C9:L9)</f>
        <v/>
      </c>
      <c r="N9" s="33">
        <f>B9*M9</f>
        <v/>
      </c>
      <c r="O9" s="13" t="inlineStr">
        <is>
          <t>AWS + CI/CD</t>
        </is>
      </c>
    </row>
    <row r="10">
      <c r="A10" s="6" t="inlineStr">
        <is>
          <t>QA Engineer</t>
        </is>
      </c>
      <c r="B10" s="7" t="n">
        <v>750</v>
      </c>
      <c r="C10" s="34" t="n"/>
      <c r="D10" s="34" t="n"/>
      <c r="E10" s="25" t="n">
        <v>1</v>
      </c>
      <c r="F10" s="25" t="n">
        <v>1</v>
      </c>
      <c r="G10" s="25" t="n">
        <v>1</v>
      </c>
      <c r="H10" s="25" t="n">
        <v>1</v>
      </c>
      <c r="I10" s="25" t="n">
        <v>4</v>
      </c>
      <c r="J10" s="25" t="n">
        <v>3</v>
      </c>
      <c r="K10" s="26" t="n">
        <v>1</v>
      </c>
      <c r="L10" s="26" t="n">
        <v>1</v>
      </c>
      <c r="M10" s="27">
        <f>SUM(C10:L10)</f>
        <v/>
      </c>
      <c r="N10" s="28">
        <f>B10*M10</f>
        <v/>
      </c>
      <c r="O10" s="9" t="inlineStr">
        <is>
          <t>QA + UAT + security</t>
        </is>
      </c>
    </row>
    <row r="11">
      <c r="A11" s="37" t="inlineStr">
        <is>
          <t>TOTAL</t>
        </is>
      </c>
      <c r="B11" s="38" t="n"/>
      <c r="C11" s="39">
        <f>SUM(C4:C10)</f>
        <v/>
      </c>
      <c r="D11" s="39">
        <f>SUM(D4:D10)</f>
        <v/>
      </c>
      <c r="E11" s="39">
        <f>SUM(E4:E10)</f>
        <v/>
      </c>
      <c r="F11" s="39">
        <f>SUM(F4:F10)</f>
        <v/>
      </c>
      <c r="G11" s="39">
        <f>SUM(G4:G10)</f>
        <v/>
      </c>
      <c r="H11" s="39">
        <f>SUM(H4:H10)</f>
        <v/>
      </c>
      <c r="I11" s="39">
        <f>SUM(I4:I10)</f>
        <v/>
      </c>
      <c r="J11" s="39">
        <f>SUM(J4:J10)</f>
        <v/>
      </c>
      <c r="K11" s="39">
        <f>SUM(K4:K10)</f>
        <v/>
      </c>
      <c r="L11" s="39">
        <f>SUM(L4:L10)</f>
        <v/>
      </c>
      <c r="M11" s="39">
        <f>SUM(M4:M10)</f>
        <v/>
      </c>
      <c r="N11" s="40">
        <f>SUM(N4:N10)</f>
        <v/>
      </c>
      <c r="O11" s="38" t="n"/>
    </row>
  </sheetData>
  <mergeCells count="5">
    <mergeCell ref="A2:B2"/>
    <mergeCell ref="A1:P1"/>
    <mergeCell ref="K2:L2"/>
    <mergeCell ref="C2:J2"/>
    <mergeCell ref="M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</cols>
  <sheetData>
    <row r="1">
      <c r="A1" s="1" t="inlineStr">
        <is>
          <t>MAHIMA ANM PLATFORM — COST MODEL &amp; PRICING</t>
        </is>
      </c>
    </row>
    <row r="3">
      <c r="A3" s="41" t="inlineStr">
        <is>
          <t>Line Item</t>
        </is>
      </c>
      <c r="B3" s="41" t="inlineStr">
        <is>
          <t>Amount (USD)</t>
        </is>
      </c>
      <c r="C3" s="41" t="inlineStr">
        <is>
          <t>Notes</t>
        </is>
      </c>
    </row>
    <row r="4">
      <c r="A4" s="42" t="inlineStr">
        <is>
          <t>A. RESOURCE COSTS (from Resource Plan)</t>
        </is>
      </c>
    </row>
    <row r="5">
      <c r="A5" s="8" t="inlineStr">
        <is>
          <t>Project Manager</t>
        </is>
      </c>
      <c r="B5" s="43">
        <f>'Resource Plan'!N4</f>
        <v/>
      </c>
      <c r="C5" s="44" t="inlineStr">
        <is>
          <t>Linked from Resource Plan sheet</t>
        </is>
      </c>
    </row>
    <row r="6">
      <c r="A6" s="12" t="inlineStr">
        <is>
          <t>Solution Architect</t>
        </is>
      </c>
      <c r="B6" s="45">
        <f>'Resource Plan'!N5</f>
        <v/>
      </c>
      <c r="C6" s="46" t="inlineStr">
        <is>
          <t>Linked from Resource Plan sheet</t>
        </is>
      </c>
    </row>
    <row r="7">
      <c r="A7" s="8" t="inlineStr">
        <is>
          <t>UI/UX Designer</t>
        </is>
      </c>
      <c r="B7" s="43">
        <f>'Resource Plan'!N6</f>
        <v/>
      </c>
      <c r="C7" s="44" t="inlineStr">
        <is>
          <t>Linked from Resource Plan sheet</t>
        </is>
      </c>
    </row>
    <row r="8">
      <c r="A8" s="12" t="inlineStr">
        <is>
          <t>Full-Stack Dev (.NET 8)</t>
        </is>
      </c>
      <c r="B8" s="45">
        <f>'Resource Plan'!N7</f>
        <v/>
      </c>
      <c r="C8" s="46" t="inlineStr">
        <is>
          <t>Linked from Resource Plan sheet</t>
        </is>
      </c>
    </row>
    <row r="9">
      <c r="A9" s="8" t="inlineStr">
        <is>
          <t>Mobile Developer</t>
        </is>
      </c>
      <c r="B9" s="43">
        <f>'Resource Plan'!N8</f>
        <v/>
      </c>
      <c r="C9" s="44" t="inlineStr">
        <is>
          <t>Linked from Resource Plan sheet</t>
        </is>
      </c>
    </row>
    <row r="10">
      <c r="A10" s="12" t="inlineStr">
        <is>
          <t>DevOps Engineer</t>
        </is>
      </c>
      <c r="B10" s="45">
        <f>'Resource Plan'!N9</f>
        <v/>
      </c>
      <c r="C10" s="46" t="inlineStr">
        <is>
          <t>Linked from Resource Plan sheet</t>
        </is>
      </c>
    </row>
    <row r="11">
      <c r="A11" s="8" t="inlineStr">
        <is>
          <t>QA Engineer</t>
        </is>
      </c>
      <c r="B11" s="43">
        <f>'Resource Plan'!N10</f>
        <v/>
      </c>
      <c r="C11" s="44" t="inlineStr">
        <is>
          <t>Linked from Resource Plan sheet</t>
        </is>
      </c>
    </row>
    <row r="12">
      <c r="A12" s="47" t="inlineStr">
        <is>
          <t>RESOURCE SUB-TOTAL</t>
        </is>
      </c>
      <c r="B12" s="28">
        <f>SUM(B5:B11)</f>
        <v/>
      </c>
      <c r="C12" s="48" t="inlineStr">
        <is>
          <t>Sum of all role costs</t>
        </is>
      </c>
    </row>
    <row r="13">
      <c r="A13" s="49" t="inlineStr">
        <is>
          <t>B. PRICING BUILD-UP</t>
        </is>
      </c>
    </row>
    <row r="14">
      <c r="A14" s="6" t="inlineStr">
        <is>
          <t>TOTAL COST (BASE)</t>
        </is>
      </c>
      <c r="B14" s="50">
        <f>B12</f>
        <v/>
      </c>
      <c r="C14" s="44" t="inlineStr">
        <is>
          <t>From resource sub-total</t>
        </is>
      </c>
    </row>
    <row r="15">
      <c r="A15" s="6" t="inlineStr">
        <is>
          <t>PROFIT MARGIN (50%)</t>
        </is>
      </c>
      <c r="B15" s="50">
        <f>B14*Assumptions!B21</f>
        <v/>
      </c>
      <c r="C15" s="44" t="inlineStr">
        <is>
          <t>Linked from Assumptions!B21</t>
        </is>
      </c>
    </row>
    <row r="16">
      <c r="A16" s="51" t="inlineStr">
        <is>
          <t>CLIENT PRICE (ONE-TIME)</t>
        </is>
      </c>
      <c r="B16" s="52">
        <f>B14+B15</f>
        <v/>
      </c>
      <c r="C16" s="53" t="inlineStr">
        <is>
          <t>Implementation customisation fee</t>
        </is>
      </c>
    </row>
    <row r="17">
      <c r="A17" s="47" t="inlineStr">
        <is>
          <t>FREE 1-MONTH HYPERCARE</t>
        </is>
      </c>
      <c r="B17" s="54" t="n">
        <v>0</v>
      </c>
      <c r="C17" s="55" t="inlineStr">
        <is>
          <t>~$5,000 value included at no extra cost</t>
        </is>
      </c>
    </row>
    <row r="19">
      <c r="A19" s="2" t="inlineStr">
        <is>
          <t>C. YEAR 1 TOTAL COST OF OWNERSHIP</t>
        </is>
      </c>
    </row>
    <row r="20">
      <c r="A20" s="12" t="inlineStr">
        <is>
          <t>One-Time Customisation</t>
        </is>
      </c>
      <c r="B20" s="45">
        <f>B16</f>
        <v/>
      </c>
      <c r="C20" s="46" t="inlineStr">
        <is>
          <t>Client price as above</t>
        </is>
      </c>
    </row>
    <row r="21">
      <c r="A21" s="8" t="inlineStr">
        <is>
          <t>AWS Infrastructure (12 months)</t>
        </is>
      </c>
      <c r="B21" s="7" t="n">
        <v>1332</v>
      </c>
      <c r="C21" s="44" t="inlineStr">
        <is>
          <t>~$111/month × 12</t>
        </is>
      </c>
    </row>
    <row r="22">
      <c r="A22" s="8" t="inlineStr">
        <is>
          <t>Third-Party Services (12 months)</t>
        </is>
      </c>
      <c r="B22" s="7" t="n">
        <v>180</v>
      </c>
      <c r="C22" s="44" t="inlineStr">
        <is>
          <t>~$15/month × 12</t>
        </is>
      </c>
    </row>
    <row r="23">
      <c r="A23" s="12" t="inlineStr">
        <is>
          <t>AMC Pro Care (10 months from M2)</t>
        </is>
      </c>
      <c r="B23" s="56">
        <f>10*1500</f>
        <v/>
      </c>
      <c r="C23" s="46" t="inlineStr">
        <is>
          <t>$1,500/month × 10 months</t>
        </is>
      </c>
    </row>
    <row r="24">
      <c r="A24" s="57" t="inlineStr">
        <is>
          <t>YEAR 1 TOTAL (Pro AMC)</t>
        </is>
      </c>
      <c r="B24" s="58">
        <f>B20+B21+B22+B23</f>
        <v/>
      </c>
      <c r="C24" s="59" t="inlineStr">
        <is>
          <t>Full first-year investment</t>
        </is>
      </c>
    </row>
  </sheetData>
  <mergeCells count="4">
    <mergeCell ref="A1:C1"/>
    <mergeCell ref="A4:C4"/>
    <mergeCell ref="A19:C19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MAHIMA ANM PLATFORM — MONTHLY INFRASTRUCTURE &amp; 3RD-PARTY CHARGES</t>
        </is>
      </c>
    </row>
    <row r="2">
      <c r="A2" s="60" t="inlineStr">
        <is>
          <t>Based on up to 500 ANM users · All prices USD/month estimates</t>
        </is>
      </c>
    </row>
    <row r="3">
      <c r="A3" s="5" t="inlineStr">
        <is>
          <t>Service</t>
        </is>
      </c>
      <c r="B3" s="5" t="inlineStr">
        <is>
          <t>Cost/Month</t>
        </is>
      </c>
      <c r="C3" s="5" t="inlineStr">
        <is>
          <t>Annual Cost</t>
        </is>
      </c>
      <c r="D3" s="5" t="inlineStr">
        <is>
          <t>Notes</t>
        </is>
      </c>
    </row>
    <row r="4">
      <c r="A4" s="61" t="inlineStr">
        <is>
          <t>☁️  AWS INFRASTRUCTURE</t>
        </is>
      </c>
    </row>
    <row r="5">
      <c r="A5" s="8" t="inlineStr">
        <is>
          <t>EC2 t3.medium (App Server)</t>
        </is>
      </c>
      <c r="B5" s="7" t="n">
        <v>35</v>
      </c>
      <c r="C5" s="18">
        <f>B5*12</f>
        <v/>
      </c>
      <c r="D5" s="9" t="inlineStr">
        <is>
          <t>General-purpose compute, 2vCPU 4GB RAM</t>
        </is>
      </c>
    </row>
    <row r="6">
      <c r="A6" s="12" t="inlineStr">
        <is>
          <t>RDS db.t3.micro (PostgreSQL)</t>
        </is>
      </c>
      <c r="B6" s="11" t="n">
        <v>25</v>
      </c>
      <c r="C6" s="56">
        <f>B6*12</f>
        <v/>
      </c>
      <c r="D6" s="13" t="inlineStr">
        <is>
          <t>Managed PostgreSQL, 1vCPU 1GB RAM</t>
        </is>
      </c>
    </row>
    <row r="7">
      <c r="A7" s="8" t="inlineStr">
        <is>
          <t>S3 Storage 100GB + requests</t>
        </is>
      </c>
      <c r="B7" s="7" t="n">
        <v>10</v>
      </c>
      <c r="C7" s="18">
        <f>B7*12</f>
        <v/>
      </c>
      <c r="D7" s="9" t="inlineStr">
        <is>
          <t>File storage for attachments + backups</t>
        </is>
      </c>
    </row>
    <row r="8">
      <c r="A8" s="12" t="inlineStr">
        <is>
          <t>CloudFront CDN</t>
        </is>
      </c>
      <c r="B8" s="11" t="n">
        <v>8</v>
      </c>
      <c r="C8" s="56">
        <f>B8*12</f>
        <v/>
      </c>
      <c r="D8" s="13" t="inlineStr">
        <is>
          <t>Content delivery + HTTPS termination</t>
        </is>
      </c>
    </row>
    <row r="9">
      <c r="A9" s="8" t="inlineStr">
        <is>
          <t>Elastic Load Balancer (ALB)</t>
        </is>
      </c>
      <c r="B9" s="7" t="n">
        <v>18</v>
      </c>
      <c r="C9" s="18">
        <f>B9*12</f>
        <v/>
      </c>
      <c r="D9" s="9" t="inlineStr">
        <is>
          <t>High-availability traffic distribution</t>
        </is>
      </c>
    </row>
    <row r="10">
      <c r="A10" s="12" t="inlineStr">
        <is>
          <t>NAT Gateway (2 AZ)</t>
        </is>
      </c>
      <c r="B10" s="11" t="n">
        <v>15</v>
      </c>
      <c r="C10" s="56">
        <f>B10*12</f>
        <v/>
      </c>
      <c r="D10" s="13" t="inlineStr">
        <is>
          <t>Outbound internet for private subnets</t>
        </is>
      </c>
    </row>
    <row r="11">
      <c r="A11" s="8" t="inlineStr">
        <is>
          <t>Route 53 DNS</t>
        </is>
      </c>
      <c r="B11" s="7" t="n">
        <v>1</v>
      </c>
      <c r="C11" s="18">
        <f>B11*12</f>
        <v/>
      </c>
      <c r="D11" s="9" t="inlineStr">
        <is>
          <t>Domain routing + health checks</t>
        </is>
      </c>
    </row>
    <row r="12">
      <c r="A12" s="62" t="inlineStr">
        <is>
          <t>AWS TOTAL</t>
        </is>
      </c>
      <c r="B12" s="63">
        <f>SUM(B5:B11)</f>
        <v/>
      </c>
      <c r="C12" s="63">
        <f>SUM(C5:C11)</f>
        <v/>
      </c>
      <c r="D12" s="64" t="inlineStr">
        <is>
          <t>Monthly AWS infrastructure estimate</t>
        </is>
      </c>
    </row>
    <row r="13">
      <c r="A13" s="65" t="inlineStr">
        <is>
          <t>🔌  THIRD-PARTY SERVICES</t>
        </is>
      </c>
    </row>
    <row r="14">
      <c r="A14" s="8" t="inlineStr">
        <is>
          <t>Twilio SMS (avg 1,000 SMS/mo)</t>
        </is>
      </c>
      <c r="B14" s="7" t="n">
        <v>8</v>
      </c>
      <c r="C14" s="18">
        <f>B14*12</f>
        <v/>
      </c>
      <c r="D14" s="9" t="inlineStr">
        <is>
          <t>~$0.0079 per SMS to India</t>
        </is>
      </c>
    </row>
    <row r="15">
      <c r="A15" s="12" t="inlineStr">
        <is>
          <t>Twilio Phone Number</t>
        </is>
      </c>
      <c r="B15" s="11" t="n">
        <v>1</v>
      </c>
      <c r="C15" s="56">
        <f>B15*12</f>
        <v/>
      </c>
      <c r="D15" s="13" t="inlineStr">
        <is>
          <t>Monthly number rental</t>
        </is>
      </c>
    </row>
    <row r="16">
      <c r="A16" s="8" t="inlineStr">
        <is>
          <t>Firebase Auth (up to 50K MAU)</t>
        </is>
      </c>
      <c r="B16" s="66" t="inlineStr">
        <is>
          <t>Free</t>
        </is>
      </c>
      <c r="C16" s="67" t="inlineStr">
        <is>
          <t>$0</t>
        </is>
      </c>
      <c r="D16" s="9" t="inlineStr">
        <is>
          <t>Free tier — no cost</t>
        </is>
      </c>
    </row>
    <row r="17">
      <c r="A17" s="12" t="inlineStr">
        <is>
          <t>Email (MailKit + SMTP relay)</t>
        </is>
      </c>
      <c r="B17" s="11" t="n">
        <v>5</v>
      </c>
      <c r="C17" s="56">
        <f>B17*12</f>
        <v/>
      </c>
      <c r="D17" s="13" t="inlineStr">
        <is>
          <t>SendGrid free tier or Mailgun</t>
        </is>
      </c>
    </row>
    <row r="18">
      <c r="A18" s="8" t="inlineStr">
        <is>
          <t>Domain Name (annual ÷ 12)</t>
        </is>
      </c>
      <c r="B18" s="7" t="n">
        <v>1</v>
      </c>
      <c r="C18" s="18">
        <f>B18*12</f>
        <v/>
      </c>
      <c r="D18" s="9" t="inlineStr">
        <is>
          <t>Approx ₹800–1200/year</t>
        </is>
      </c>
    </row>
    <row r="19">
      <c r="A19" s="12" t="inlineStr">
        <is>
          <t>SSL Certificate (Let's Encrypt)</t>
        </is>
      </c>
      <c r="B19" s="68" t="inlineStr">
        <is>
          <t>Free</t>
        </is>
      </c>
      <c r="C19" s="69" t="inlineStr">
        <is>
          <t>$0</t>
        </is>
      </c>
      <c r="D19" s="13" t="inlineStr">
        <is>
          <t>Free — auto-renewed via Certbot</t>
        </is>
      </c>
    </row>
    <row r="20">
      <c r="A20" s="70" t="inlineStr">
        <is>
          <t>3RD-PARTY TOTAL</t>
        </is>
      </c>
      <c r="B20" s="71">
        <f>SUMIF(B14:B19,"&gt;0")</f>
        <v/>
      </c>
      <c r="C20" s="71">
        <f>B20*12</f>
        <v/>
      </c>
      <c r="D20" s="72" t="inlineStr">
        <is>
          <t>Monthly third-party estimate</t>
        </is>
      </c>
    </row>
    <row r="21">
      <c r="A21" s="73" t="inlineStr">
        <is>
          <t>TOTAL MONTHLY PLATFORM COST</t>
        </is>
      </c>
      <c r="B21" s="74">
        <f>B12+B20</f>
        <v/>
      </c>
      <c r="C21" s="74">
        <f>B21*12</f>
        <v/>
      </c>
      <c r="D21" s="73" t="inlineStr">
        <is>
          <t>Annual total platform charges</t>
        </is>
      </c>
    </row>
  </sheetData>
  <mergeCells count="5">
    <mergeCell ref="A1:D1"/>
    <mergeCell ref="A21"/>
    <mergeCell ref="A4:D4"/>
    <mergeCell ref="A2:D2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ANNUAL MAINTENANCE &amp; SUPPORT (AMC) PLANS — POST GO-LIVE</t>
        </is>
      </c>
    </row>
    <row r="2">
      <c r="A2" s="60" t="inlineStr">
        <is>
          <t>Month 1 is FREE Hypercare (included in one-time cost). AMC billing begins Month 2.</t>
        </is>
      </c>
    </row>
    <row r="3">
      <c r="A3" s="24" t="inlineStr">
        <is>
          <t>Feature / Parameter</t>
        </is>
      </c>
      <c r="B3" s="22" t="inlineStr">
        <is>
          <t>Starter Care</t>
        </is>
      </c>
      <c r="C3" s="75" t="inlineStr">
        <is>
          <t>Pro Care ★</t>
        </is>
      </c>
      <c r="D3" s="76" t="inlineStr">
        <is>
          <t>Enterprise Care</t>
        </is>
      </c>
      <c r="E3" s="77" t="inlineStr">
        <is>
          <t>Starter Annual</t>
        </is>
      </c>
      <c r="F3" s="77" t="inlineStr">
        <is>
          <t>Pro Annual</t>
        </is>
      </c>
      <c r="G3" s="77" t="inlineStr">
        <is>
          <t>Enterprise Annual</t>
        </is>
      </c>
    </row>
    <row r="4">
      <c r="A4" s="6" t="inlineStr">
        <is>
          <t>Monthly Price (USD)</t>
        </is>
      </c>
      <c r="B4" s="15" t="inlineStr">
        <is>
          <t>$800</t>
        </is>
      </c>
      <c r="C4" s="78" t="inlineStr">
        <is>
          <t>$1,500</t>
        </is>
      </c>
      <c r="D4" s="79" t="inlineStr">
        <is>
          <t>$2,500</t>
        </is>
      </c>
    </row>
    <row r="5">
      <c r="A5" s="10" t="inlineStr">
        <is>
          <t>Annual Price (USD)</t>
        </is>
      </c>
      <c r="B5" s="17" t="inlineStr">
        <is>
          <t>$8,000</t>
        </is>
      </c>
      <c r="C5" s="80" t="inlineStr">
        <is>
          <t>$15,000</t>
        </is>
      </c>
      <c r="D5" s="17" t="inlineStr">
        <is>
          <t>$25,000</t>
        </is>
      </c>
    </row>
    <row r="6">
      <c r="A6" s="6" t="inlineStr">
        <is>
          <t>Annual Saving vs Monthly</t>
        </is>
      </c>
      <c r="B6" s="15" t="inlineStr">
        <is>
          <t>$1,600</t>
        </is>
      </c>
      <c r="C6" s="78" t="inlineStr">
        <is>
          <t>$3,000</t>
        </is>
      </c>
      <c r="D6" s="79" t="inlineStr">
        <is>
          <t>$5,000</t>
        </is>
      </c>
    </row>
    <row r="7">
      <c r="A7" s="81" t="n"/>
      <c r="B7" s="81" t="n"/>
      <c r="C7" s="81" t="n"/>
      <c r="D7" s="81" t="n"/>
      <c r="E7" s="81" t="n"/>
      <c r="F7" s="81" t="n"/>
      <c r="G7" s="81" t="n"/>
    </row>
    <row r="8">
      <c r="A8" s="8" t="inlineStr">
        <is>
          <t>Bug Fixes &amp; Security Patches</t>
        </is>
      </c>
      <c r="B8" s="82" t="inlineStr">
        <is>
          <t>✓</t>
        </is>
      </c>
      <c r="C8" s="83" t="inlineStr">
        <is>
          <t>✓</t>
        </is>
      </c>
      <c r="D8" s="84" t="inlineStr">
        <is>
          <t>✓</t>
        </is>
      </c>
    </row>
    <row r="9">
      <c r="A9" s="12" t="inlineStr">
        <is>
          <t>OS &amp; Dependency Updates</t>
        </is>
      </c>
      <c r="B9" s="85" t="inlineStr">
        <is>
          <t>✓</t>
        </is>
      </c>
      <c r="C9" s="85" t="inlineStr">
        <is>
          <t>✓</t>
        </is>
      </c>
      <c r="D9" s="85" t="inlineStr">
        <is>
          <t>✓</t>
        </is>
      </c>
    </row>
    <row r="10">
      <c r="A10" s="8" t="inlineStr">
        <is>
          <t>Monthly Health Report</t>
        </is>
      </c>
      <c r="B10" s="82" t="inlineStr">
        <is>
          <t>✓</t>
        </is>
      </c>
      <c r="C10" s="83" t="inlineStr">
        <is>
          <t>✓</t>
        </is>
      </c>
      <c r="D10" s="84" t="inlineStr">
        <is>
          <t>✓</t>
        </is>
      </c>
    </row>
    <row r="11">
      <c r="A11" s="12" t="inlineStr">
        <is>
          <t>Support Hours / Month</t>
        </is>
      </c>
      <c r="B11" s="17" t="inlineStr">
        <is>
          <t>3 hrs</t>
        </is>
      </c>
      <c r="C11" s="17" t="inlineStr">
        <is>
          <t>6 hrs</t>
        </is>
      </c>
      <c r="D11" s="17" t="inlineStr">
        <is>
          <t>15 hrs</t>
        </is>
      </c>
    </row>
    <row r="12">
      <c r="A12" s="8" t="inlineStr">
        <is>
          <t>Response SLA</t>
        </is>
      </c>
      <c r="B12" s="15" t="inlineStr">
        <is>
          <t>48 hrs</t>
        </is>
      </c>
      <c r="C12" s="86" t="inlineStr">
        <is>
          <t>24 hrs</t>
        </is>
      </c>
      <c r="D12" s="79" t="inlineStr">
        <is>
          <t>4 hrs</t>
        </is>
      </c>
    </row>
    <row r="13">
      <c r="A13" s="12" t="inlineStr">
        <is>
          <t>CloudWatch Monitoring Review</t>
        </is>
      </c>
      <c r="B13" s="30" t="inlineStr">
        <is>
          <t>—</t>
        </is>
      </c>
      <c r="C13" s="85" t="inlineStr">
        <is>
          <t>✓</t>
        </is>
      </c>
      <c r="D13" s="85" t="inlineStr">
        <is>
          <t>✓</t>
        </is>
      </c>
    </row>
    <row r="14">
      <c r="A14" s="8" t="inlineStr">
        <is>
          <t>DB Performance Tuning</t>
        </is>
      </c>
      <c r="B14" s="34" t="inlineStr">
        <is>
          <t>—</t>
        </is>
      </c>
      <c r="C14" s="83" t="inlineStr">
        <is>
          <t>✓</t>
        </is>
      </c>
      <c r="D14" s="84" t="inlineStr">
        <is>
          <t>✓</t>
        </is>
      </c>
    </row>
    <row r="15">
      <c r="A15" s="12" t="inlineStr">
        <is>
          <t>Minor Feature Enhancements</t>
        </is>
      </c>
      <c r="B15" s="30" t="inlineStr">
        <is>
          <t>—</t>
        </is>
      </c>
      <c r="C15" s="85" t="inlineStr">
        <is>
          <t>✓</t>
        </is>
      </c>
      <c r="D15" s="85" t="inlineStr">
        <is>
          <t>✓</t>
        </is>
      </c>
    </row>
    <row r="16">
      <c r="A16" s="8" t="inlineStr">
        <is>
          <t>New Feature Development</t>
        </is>
      </c>
      <c r="B16" s="34" t="inlineStr">
        <is>
          <t>—</t>
        </is>
      </c>
      <c r="C16" s="87" t="inlineStr">
        <is>
          <t>—</t>
        </is>
      </c>
      <c r="D16" s="79" t="inlineStr">
        <is>
          <t>✓ (15hrs)</t>
        </is>
      </c>
    </row>
    <row r="17">
      <c r="A17" s="12" t="inlineStr">
        <is>
          <t>Dedicated DevOps Oversight</t>
        </is>
      </c>
      <c r="B17" s="30" t="inlineStr">
        <is>
          <t>—</t>
        </is>
      </c>
      <c r="C17" s="30" t="inlineStr">
        <is>
          <t>—</t>
        </is>
      </c>
      <c r="D17" s="85" t="inlineStr">
        <is>
          <t>✓</t>
        </is>
      </c>
    </row>
    <row r="18">
      <c r="A18" s="8" t="inlineStr">
        <is>
          <t>Quarterly Version Releases</t>
        </is>
      </c>
      <c r="B18" s="34" t="inlineStr">
        <is>
          <t>—</t>
        </is>
      </c>
      <c r="C18" s="87" t="inlineStr">
        <is>
          <t>—</t>
        </is>
      </c>
      <c r="D18" s="84" t="inlineStr">
        <is>
          <t>✓</t>
        </is>
      </c>
    </row>
    <row r="19">
      <c r="A19" s="12" t="inlineStr">
        <is>
          <t>Weekly Stakeholder Reports</t>
        </is>
      </c>
      <c r="B19" s="30" t="inlineStr">
        <is>
          <t>—</t>
        </is>
      </c>
      <c r="C19" s="30" t="inlineStr">
        <is>
          <t>—</t>
        </is>
      </c>
      <c r="D19" s="85" t="inlineStr">
        <is>
          <t>✓</t>
        </is>
      </c>
    </row>
    <row r="20">
      <c r="A20" s="8" t="inlineStr">
        <is>
          <t>PM Monthly Check-in</t>
        </is>
      </c>
      <c r="B20" s="34" t="inlineStr">
        <is>
          <t>—</t>
        </is>
      </c>
      <c r="C20" s="83" t="inlineStr">
        <is>
          <t>✓</t>
        </is>
      </c>
      <c r="D20" s="84" t="inlineStr">
        <is>
          <t>✓</t>
        </is>
      </c>
    </row>
    <row r="21">
      <c r="A21" s="12" t="inlineStr">
        <is>
          <t>Emergency SLA</t>
        </is>
      </c>
      <c r="B21" s="30" t="inlineStr">
        <is>
          <t>—</t>
        </is>
      </c>
      <c r="C21" s="30" t="inlineStr">
        <is>
          <t>—</t>
        </is>
      </c>
      <c r="D21" s="17" t="inlineStr">
        <is>
          <t>4 hours</t>
        </is>
      </c>
    </row>
    <row r="22">
      <c r="A22" s="81" t="n"/>
      <c r="B22" s="81" t="n"/>
      <c r="C22" s="81" t="n"/>
      <c r="D22" s="81" t="n"/>
      <c r="E22" s="81" t="n"/>
      <c r="F22" s="81" t="n"/>
      <c r="G22" s="81" t="n"/>
    </row>
    <row r="23">
      <c r="A23" s="12" t="inlineStr">
        <is>
          <t>Billing Model</t>
        </is>
      </c>
      <c r="B23" s="17" t="inlineStr">
        <is>
          <t>Monthly or Annual</t>
        </is>
      </c>
      <c r="C23" s="17" t="inlineStr">
        <is>
          <t>Monthly or Annual</t>
        </is>
      </c>
      <c r="D23" s="17" t="inlineStr">
        <is>
          <t>Annual (upfront)</t>
        </is>
      </c>
    </row>
    <row r="25">
      <c r="A25" s="2" t="inlineStr">
        <is>
          <t>ANNUAL CONTRACT SUMMARY</t>
        </is>
      </c>
    </row>
    <row r="26">
      <c r="A26" s="6" t="inlineStr">
        <is>
          <t>Starter Care Annual</t>
        </is>
      </c>
      <c r="B26" s="7" t="n">
        <v>8000</v>
      </c>
      <c r="C26" s="44" t="inlineStr">
        <is>
          <t>Save $1,600 vs 12 months at monthly rate of $800</t>
        </is>
      </c>
      <c r="D26" s="88" t="n"/>
      <c r="E26" s="88" t="n"/>
      <c r="F26" s="88" t="n"/>
      <c r="G26" s="88" t="n"/>
    </row>
    <row r="27">
      <c r="A27" s="47" t="inlineStr">
        <is>
          <t>Pro Care Annual ★</t>
        </is>
      </c>
      <c r="B27" s="89" t="n">
        <v>15000</v>
      </c>
      <c r="C27" s="55" t="inlineStr">
        <is>
          <t>Save $3,000 vs 12 months at monthly rate of $1,500</t>
        </is>
      </c>
      <c r="D27" s="90" t="n"/>
      <c r="E27" s="90" t="n"/>
      <c r="F27" s="90" t="n"/>
      <c r="G27" s="90" t="n"/>
    </row>
    <row r="28">
      <c r="A28" s="91" t="inlineStr">
        <is>
          <t>Enterprise Annual</t>
        </is>
      </c>
      <c r="B28" s="92" t="n">
        <v>25000</v>
      </c>
      <c r="C28" s="93" t="inlineStr">
        <is>
          <t>Save $5,000 vs 12 months at monthly rate of $2,500</t>
        </is>
      </c>
      <c r="D28" s="94" t="n"/>
      <c r="E28" s="94" t="n"/>
      <c r="F28" s="94" t="n"/>
      <c r="G28" s="94" t="n"/>
    </row>
  </sheetData>
  <mergeCells count="6">
    <mergeCell ref="A1:G1"/>
    <mergeCell ref="C28:G28"/>
    <mergeCell ref="C27:G27"/>
    <mergeCell ref="A2:G2"/>
    <mergeCell ref="A25:G25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2026-06-14T06:31:14Z</dcterms:created>
  <dcterms:modified xsi:type="dcterms:W3CDTF">2026-06-14T06:31:14Z</dcterms:modified>
</cp:coreProperties>
</file>