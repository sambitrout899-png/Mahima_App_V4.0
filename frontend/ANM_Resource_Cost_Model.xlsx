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source Plan" sheetId="2" state="visible" r:id="rId2"/>
    <sheet name="Cost Model" sheetId="3" state="visible" r:id="rId3"/>
    <sheet name="Weekly Co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"/>
    <numFmt numFmtId="165" formatCode="0.0%"/>
    <numFmt numFmtId="166" formatCode="#,##0;[Red]-#,##0;-"/>
    <numFmt numFmtId="167" formatCode="0.0x"/>
    <numFmt numFmtId="168" formatCode="0.0%;(0.0%);-"/>
    <numFmt numFmtId="169" formatCode="0.0"/>
    <numFmt numFmtId="170" formatCode="$#,##0;($#,##0);-"/>
  </numFmts>
  <fonts count="30">
    <font>
      <name val="Calibri"/>
      <family val="2"/>
      <color theme="1"/>
      <sz val="11"/>
      <scheme val="minor"/>
    </font>
    <font>
      <name val="Arial"/>
      <b val="1"/>
      <color rgb="001B2F6E"/>
      <sz val="18"/>
    </font>
    <font>
      <name val="Arial"/>
      <b val="1"/>
      <color rgb="0064748B"/>
      <sz val="9"/>
    </font>
    <font>
      <name val="Arial"/>
      <color rgb="001A1A2E"/>
      <sz val="10"/>
    </font>
    <font>
      <name val="Arial"/>
      <b val="1"/>
      <color rgb="00FFFFFF"/>
      <sz val="10"/>
    </font>
    <font>
      <name val="Arial"/>
      <b val="1"/>
      <color rgb="001B2F6E"/>
      <sz val="9"/>
    </font>
    <font>
      <name val="Arial"/>
      <b val="1"/>
      <color rgb="001B2F6E"/>
      <sz val="10"/>
    </font>
    <font>
      <name val="Arial"/>
      <color rgb="000000FF"/>
      <sz val="10"/>
    </font>
    <font>
      <name val="Arial"/>
      <color rgb="0064748B"/>
      <sz val="9"/>
    </font>
    <font>
      <name val="Arial"/>
      <b val="1"/>
      <color rgb="000000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8000"/>
      <sz val="10"/>
    </font>
    <font>
      <name val="Arial"/>
      <color rgb="00008000"/>
      <sz val="10"/>
    </font>
    <font>
      <name val="Arial"/>
      <b val="1"/>
      <color rgb="00FFFFFF"/>
      <sz val="16"/>
    </font>
    <font>
      <name val="Arial"/>
      <b val="1"/>
      <color rgb="00FFFFFF"/>
      <sz val="9"/>
    </font>
    <font>
      <name val="Arial"/>
      <color rgb="0064748B"/>
      <sz val="10"/>
    </font>
    <font>
      <name val="Arial"/>
      <color rgb="001B2F6E"/>
      <sz val="9"/>
    </font>
    <font>
      <name val="Arial"/>
      <color rgb="00FFFFFF"/>
      <sz val="9"/>
    </font>
    <font>
      <name val="Arial"/>
      <color rgb="0064748B"/>
      <sz val="8"/>
    </font>
    <font>
      <name val="Arial"/>
      <b val="1"/>
      <color rgb="001B2F6E"/>
      <sz val="11"/>
    </font>
    <font>
      <name val="Arial"/>
      <b val="1"/>
      <color rgb="000000FF"/>
      <sz val="11"/>
    </font>
    <font>
      <name val="Arial"/>
      <b val="1"/>
      <color rgb="00065F46"/>
      <sz val="11"/>
    </font>
    <font>
      <name val="Arial"/>
      <b val="1"/>
      <color rgb="001B2F6E"/>
      <sz val="13"/>
    </font>
    <font>
      <name val="Arial"/>
      <color rgb="00065F46"/>
      <sz val="9"/>
    </font>
    <font>
      <name val="Arial"/>
      <b val="1"/>
      <color rgb="00F0A500"/>
      <sz val="9"/>
    </font>
    <font>
      <name val="Arial"/>
      <b val="1"/>
      <color rgb="00065F46"/>
      <sz val="10"/>
    </font>
    <font>
      <name val="Arial"/>
      <color rgb="00065F46"/>
      <sz val="10"/>
    </font>
    <font>
      <name val="Arial"/>
      <b val="1"/>
      <color rgb="00FFFFFF"/>
      <sz val="11"/>
    </font>
    <font>
      <name val="Arial"/>
      <b val="1"/>
      <color rgb="001B2F6E"/>
      <sz val="12"/>
    </font>
  </fonts>
  <fills count="18">
    <fill>
      <patternFill/>
    </fill>
    <fill>
      <patternFill patternType="gray125"/>
    </fill>
    <fill>
      <patternFill patternType="solid">
        <fgColor rgb="00EEF2F7"/>
      </patternFill>
    </fill>
    <fill>
      <patternFill patternType="solid">
        <fgColor rgb="001B2F6E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1D4ED8"/>
      </patternFill>
    </fill>
    <fill>
      <patternFill patternType="solid">
        <fgColor rgb="00065F46"/>
      </patternFill>
    </fill>
    <fill>
      <patternFill patternType="solid">
        <fgColor rgb="0092400E"/>
      </patternFill>
    </fill>
    <fill>
      <patternFill patternType="solid">
        <fgColor rgb="006B21A8"/>
      </patternFill>
    </fill>
    <fill>
      <patternFill patternType="solid">
        <fgColor rgb="00991B1B"/>
      </patternFill>
    </fill>
    <fill>
      <patternFill patternType="solid">
        <fgColor rgb="00FEF9C3"/>
      </patternFill>
    </fill>
    <fill>
      <patternFill patternType="solid">
        <fgColor rgb="00F0FDF4"/>
      </patternFill>
    </fill>
    <fill>
      <patternFill patternType="solid">
        <fgColor rgb="00F0A500"/>
      </patternFill>
    </fill>
    <fill>
      <patternFill patternType="solid">
        <fgColor rgb="00EFF6FF"/>
      </patternFill>
    </fill>
    <fill>
      <patternFill patternType="solid">
        <fgColor rgb="00FFFBEB"/>
      </patternFill>
    </fill>
    <fill>
      <patternFill patternType="solid">
        <fgColor rgb="00F5F3FF"/>
      </patternFill>
    </fill>
    <fill>
      <patternFill patternType="solid">
        <fgColor rgb="00FFF1F2"/>
      </patternFill>
    </fill>
  </fills>
  <borders count="6">
    <border>
      <left/>
      <right/>
      <top/>
      <bottom/>
      <diagonal/>
    </border>
    <border>
      <bottom style="medium">
        <color rgb="001B2F6E"/>
      </bottom>
    </border>
    <border>
      <bottom style="thin">
        <color rgb="00DDDDDD"/>
      </bottom>
    </border>
    <border>
      <left style="thin">
        <color rgb="00E0E0E0"/>
      </left>
      <right style="thin">
        <color rgb="00E0E0E0"/>
      </right>
      <bottom style="thin">
        <color rgb="00DDDDDD"/>
      </bottom>
    </border>
    <border>
      <top style="thin">
        <color rgb="00CCCCCC"/>
      </top>
      <bottom style="medium">
        <color rgb="00AAAAAA"/>
      </bottom>
    </border>
    <border>
      <left style="medium">
        <color rgb="001B2F6E"/>
      </left>
      <bottom style="thin">
        <color rgb="00DDDDDD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164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164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165" fontId="7" fillId="4" borderId="2" applyAlignment="1" pivotButton="0" quotePrefix="0" xfId="0">
      <alignment horizontal="center" vertical="center"/>
    </xf>
    <xf numFmtId="3" fontId="7" fillId="5" borderId="2" applyAlignment="1" pivotButton="0" quotePrefix="0" xfId="0">
      <alignment horizontal="center" vertical="center"/>
    </xf>
    <xf numFmtId="3" fontId="7" fillId="4" borderId="2" applyAlignment="1" pivotButton="0" quotePrefix="0" xfId="0">
      <alignment horizontal="center" vertical="center"/>
    </xf>
    <xf numFmtId="0" fontId="9" fillId="4" borderId="0" pivotButton="0" quotePrefix="0" xfId="0"/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10" fillId="5" borderId="0" pivotButton="0" quotePrefix="0" xfId="0"/>
    <xf numFmtId="0" fontId="11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/>
    </xf>
    <xf numFmtId="0" fontId="12" fillId="4" borderId="0" pivotButton="0" quotePrefix="0" xfId="0"/>
    <xf numFmtId="0" fontId="13" fillId="4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 indent="1"/>
    </xf>
    <xf numFmtId="0" fontId="15" fillId="3" borderId="0" applyAlignment="1" pivotButton="0" quotePrefix="0" xfId="0">
      <alignment horizontal="center" vertical="center"/>
    </xf>
    <xf numFmtId="0" fontId="15" fillId="6" borderId="0" applyAlignment="1" pivotButton="0" quotePrefix="0" xfId="0">
      <alignment horizontal="center" vertical="center"/>
    </xf>
    <xf numFmtId="0" fontId="15" fillId="7" borderId="0" applyAlignment="1" pivotButton="0" quotePrefix="0" xfId="0">
      <alignment horizontal="center" vertical="center"/>
    </xf>
    <xf numFmtId="0" fontId="15" fillId="8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166" fontId="7" fillId="4" borderId="3" applyAlignment="1" pivotButton="0" quotePrefix="0" xfId="0">
      <alignment horizontal="center" vertical="center"/>
    </xf>
    <xf numFmtId="3" fontId="10" fillId="2" borderId="2" applyAlignment="1" pivotButton="0" quotePrefix="0" xfId="0">
      <alignment horizontal="center" vertical="center"/>
    </xf>
    <xf numFmtId="167" fontId="11" fillId="2" borderId="2" applyAlignment="1" pivotButton="0" quotePrefix="0" xfId="0">
      <alignment horizontal="center" vertical="center"/>
    </xf>
    <xf numFmtId="166" fontId="7" fillId="5" borderId="3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3" fontId="8" fillId="0" borderId="0" applyAlignment="1" pivotButton="0" quotePrefix="0" xfId="0">
      <alignment horizontal="center" vertical="center"/>
    </xf>
    <xf numFmtId="3" fontId="16" fillId="0" borderId="0" applyAlignment="1" pivotButton="0" quotePrefix="0" xfId="0">
      <alignment horizontal="center" vertical="center"/>
    </xf>
    <xf numFmtId="9" fontId="8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center" vertical="center"/>
    </xf>
    <xf numFmtId="3" fontId="17" fillId="4" borderId="2" applyAlignment="1" pivotButton="0" quotePrefix="0" xfId="0">
      <alignment horizontal="center" vertical="center"/>
    </xf>
    <xf numFmtId="168" fontId="17" fillId="4" borderId="2" applyAlignment="1" pivotButton="0" quotePrefix="0" xfId="0">
      <alignment horizontal="center" vertical="center"/>
    </xf>
    <xf numFmtId="169" fontId="17" fillId="4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left" vertical="center"/>
    </xf>
    <xf numFmtId="0" fontId="17" fillId="5" borderId="2" applyAlignment="1" pivotButton="0" quotePrefix="0" xfId="0">
      <alignment horizontal="center" vertical="center"/>
    </xf>
    <xf numFmtId="3" fontId="17" fillId="5" borderId="2" applyAlignment="1" pivotButton="0" quotePrefix="0" xfId="0">
      <alignment horizontal="center" vertical="center"/>
    </xf>
    <xf numFmtId="168" fontId="17" fillId="5" borderId="2" applyAlignment="1" pivotButton="0" quotePrefix="0" xfId="0">
      <alignment horizontal="center" vertical="center"/>
    </xf>
    <xf numFmtId="169" fontId="17" fillId="5" borderId="2" applyAlignment="1" pivotButton="0" quotePrefix="0" xfId="0">
      <alignment horizontal="center" vertical="center"/>
    </xf>
    <xf numFmtId="0" fontId="15" fillId="3" borderId="2" applyAlignment="1" pivotButton="0" quotePrefix="0" xfId="0">
      <alignment horizontal="left" vertical="center"/>
    </xf>
    <xf numFmtId="0" fontId="15" fillId="3" borderId="2" applyAlignment="1" pivotButton="0" quotePrefix="0" xfId="0">
      <alignment horizontal="center" vertical="center"/>
    </xf>
    <xf numFmtId="3" fontId="15" fillId="3" borderId="2" applyAlignment="1" pivotButton="0" quotePrefix="0" xfId="0">
      <alignment horizontal="center" vertical="center"/>
    </xf>
    <xf numFmtId="168" fontId="18" fillId="3" borderId="2" applyAlignment="1" pivotButton="0" quotePrefix="0" xfId="0">
      <alignment horizontal="center" vertical="center"/>
    </xf>
    <xf numFmtId="169" fontId="18" fillId="3" borderId="2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 indent="1"/>
    </xf>
    <xf numFmtId="0" fontId="15" fillId="3" borderId="0" applyAlignment="1" pivotButton="0" quotePrefix="0" xfId="0">
      <alignment horizontal="center" vertical="center" wrapText="1"/>
    </xf>
    <xf numFmtId="164" fontId="13" fillId="4" borderId="2" applyAlignment="1" pivotButton="0" quotePrefix="0" xfId="0">
      <alignment horizontal="center" vertical="center"/>
    </xf>
    <xf numFmtId="3" fontId="13" fillId="4" borderId="2" applyAlignment="1" pivotButton="0" quotePrefix="0" xfId="0">
      <alignment horizontal="center" vertical="center"/>
    </xf>
    <xf numFmtId="3" fontId="11" fillId="4" borderId="2" applyAlignment="1" pivotButton="0" quotePrefix="0" xfId="0">
      <alignment horizontal="center" vertical="center"/>
    </xf>
    <xf numFmtId="170" fontId="11" fillId="4" borderId="2" applyAlignment="1" pivotButton="0" quotePrefix="0" xfId="0">
      <alignment horizontal="right" vertical="center"/>
    </xf>
    <xf numFmtId="168" fontId="11" fillId="4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164" fontId="13" fillId="5" borderId="2" applyAlignment="1" pivotButton="0" quotePrefix="0" xfId="0">
      <alignment horizontal="center" vertical="center"/>
    </xf>
    <xf numFmtId="3" fontId="13" fillId="5" borderId="2" applyAlignment="1" pivotButton="0" quotePrefix="0" xfId="0">
      <alignment horizontal="center" vertical="center"/>
    </xf>
    <xf numFmtId="3" fontId="11" fillId="5" borderId="2" applyAlignment="1" pivotButton="0" quotePrefix="0" xfId="0">
      <alignment horizontal="center" vertical="center"/>
    </xf>
    <xf numFmtId="170" fontId="11" fillId="5" borderId="2" applyAlignment="1" pivotButton="0" quotePrefix="0" xfId="0">
      <alignment horizontal="right" vertical="center"/>
    </xf>
    <xf numFmtId="168" fontId="11" fillId="5" borderId="2" applyAlignment="1" pivotButton="0" quotePrefix="0" xfId="0">
      <alignment horizontal="center" vertical="center"/>
    </xf>
    <xf numFmtId="0" fontId="0" fillId="3" borderId="0" pivotButton="0" quotePrefix="0" xfId="0"/>
    <xf numFmtId="170" fontId="4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 indent="2"/>
    </xf>
    <xf numFmtId="170" fontId="20" fillId="2" borderId="4" applyAlignment="1" pivotButton="0" quotePrefix="0" xfId="0">
      <alignment horizontal="right" vertical="center"/>
    </xf>
    <xf numFmtId="0" fontId="21" fillId="11" borderId="0" applyAlignment="1" pivotButton="0" quotePrefix="0" xfId="0">
      <alignment horizontal="left" vertical="center" indent="2"/>
    </xf>
    <xf numFmtId="165" fontId="21" fillId="11" borderId="4" applyAlignment="1" pivotButton="0" quotePrefix="0" xfId="0">
      <alignment horizontal="right" vertical="center"/>
    </xf>
    <xf numFmtId="0" fontId="22" fillId="12" borderId="0" applyAlignment="1" pivotButton="0" quotePrefix="0" xfId="0">
      <alignment horizontal="left" vertical="center" indent="2"/>
    </xf>
    <xf numFmtId="170" fontId="22" fillId="12" borderId="4" applyAlignment="1" pivotButton="0" quotePrefix="0" xfId="0">
      <alignment horizontal="right" vertical="center"/>
    </xf>
    <xf numFmtId="0" fontId="23" fillId="13" borderId="0" applyAlignment="1" pivotButton="0" quotePrefix="0" xfId="0">
      <alignment horizontal="left" vertical="center" indent="2"/>
    </xf>
    <xf numFmtId="170" fontId="23" fillId="13" borderId="4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 wrapText="1"/>
    </xf>
    <xf numFmtId="170" fontId="17" fillId="4" borderId="2" applyAlignment="1" pivotButton="0" quotePrefix="0" xfId="0">
      <alignment horizontal="right" vertical="center"/>
    </xf>
    <xf numFmtId="170" fontId="24" fillId="4" borderId="2" applyAlignment="1" pivotButton="0" quotePrefix="0" xfId="0">
      <alignment horizontal="right" vertical="center"/>
    </xf>
    <xf numFmtId="170" fontId="17" fillId="5" borderId="2" applyAlignment="1" pivotButton="0" quotePrefix="0" xfId="0">
      <alignment horizontal="right" vertical="center"/>
    </xf>
    <xf numFmtId="170" fontId="24" fillId="5" borderId="2" applyAlignment="1" pivotButton="0" quotePrefix="0" xfId="0">
      <alignment horizontal="right" vertical="center"/>
    </xf>
    <xf numFmtId="170" fontId="15" fillId="3" borderId="2" applyAlignment="1" pivotButton="0" quotePrefix="0" xfId="0">
      <alignment horizontal="right" vertical="center"/>
    </xf>
    <xf numFmtId="170" fontId="25" fillId="13" borderId="2" applyAlignment="1" pivotButton="0" quotePrefix="0" xfId="0">
      <alignment horizontal="right" vertical="center"/>
    </xf>
    <xf numFmtId="0" fontId="6" fillId="14" borderId="0" applyAlignment="1" pivotButton="0" quotePrefix="0" xfId="0">
      <alignment horizontal="center" vertical="center"/>
    </xf>
    <xf numFmtId="0" fontId="8" fillId="14" borderId="0" applyAlignment="1" pivotButton="0" quotePrefix="0" xfId="0">
      <alignment horizontal="left" vertical="center"/>
    </xf>
    <xf numFmtId="170" fontId="11" fillId="14" borderId="2" applyAlignment="1" pivotButton="0" quotePrefix="0" xfId="0">
      <alignment horizontal="right" vertical="center"/>
    </xf>
    <xf numFmtId="170" fontId="10" fillId="2" borderId="5" applyAlignment="1" pivotButton="0" quotePrefix="0" xfId="0">
      <alignment horizontal="right" vertical="center"/>
    </xf>
    <xf numFmtId="170" fontId="11" fillId="2" borderId="2" applyAlignment="1" pivotButton="0" quotePrefix="0" xfId="0">
      <alignment horizontal="right" vertical="center"/>
    </xf>
    <xf numFmtId="170" fontId="26" fillId="12" borderId="5" applyAlignment="1" pivotButton="0" quotePrefix="0" xfId="0">
      <alignment horizontal="right" vertical="center"/>
    </xf>
    <xf numFmtId="170" fontId="27" fillId="12" borderId="2" applyAlignment="1" pivotButton="0" quotePrefix="0" xfId="0">
      <alignment horizontal="right" vertical="center"/>
    </xf>
    <xf numFmtId="0" fontId="6" fillId="12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left" vertical="center"/>
    </xf>
    <xf numFmtId="170" fontId="11" fillId="12" borderId="2" applyAlignment="1" pivotButton="0" quotePrefix="0" xfId="0">
      <alignment horizontal="right" vertical="center"/>
    </xf>
    <xf numFmtId="0" fontId="6" fillId="15" borderId="0" applyAlignment="1" pivotButton="0" quotePrefix="0" xfId="0">
      <alignment horizontal="center" vertical="center"/>
    </xf>
    <xf numFmtId="0" fontId="8" fillId="15" borderId="0" applyAlignment="1" pivotButton="0" quotePrefix="0" xfId="0">
      <alignment horizontal="left" vertical="center"/>
    </xf>
    <xf numFmtId="170" fontId="11" fillId="15" borderId="2" applyAlignment="1" pivotButton="0" quotePrefix="0" xfId="0">
      <alignment horizontal="right" vertical="center"/>
    </xf>
    <xf numFmtId="0" fontId="6" fillId="16" borderId="0" applyAlignment="1" pivotButton="0" quotePrefix="0" xfId="0">
      <alignment horizontal="center" vertical="center"/>
    </xf>
    <xf numFmtId="0" fontId="8" fillId="16" borderId="0" applyAlignment="1" pivotButton="0" quotePrefix="0" xfId="0">
      <alignment horizontal="left" vertical="center"/>
    </xf>
    <xf numFmtId="170" fontId="11" fillId="16" borderId="2" applyAlignment="1" pivotButton="0" quotePrefix="0" xfId="0">
      <alignment horizontal="right" vertical="center"/>
    </xf>
    <xf numFmtId="0" fontId="6" fillId="17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left" vertical="center"/>
    </xf>
    <xf numFmtId="170" fontId="11" fillId="17" borderId="2" applyAlignment="1" pivotButton="0" quotePrefix="0" xfId="0">
      <alignment horizontal="right" vertical="center"/>
    </xf>
    <xf numFmtId="0" fontId="28" fillId="3" borderId="0" applyAlignment="1" pivotButton="0" quotePrefix="0" xfId="0">
      <alignment horizontal="center" vertical="center"/>
    </xf>
    <xf numFmtId="170" fontId="28" fillId="3" borderId="0" applyAlignment="1" pivotButton="0" quotePrefix="0" xfId="0">
      <alignment horizontal="right" vertical="center"/>
    </xf>
    <xf numFmtId="170" fontId="29" fillId="1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46" customWidth="1" min="4" max="4"/>
  </cols>
  <sheetData>
    <row r="1" ht="44" customHeight="1">
      <c r="A1" s="1" t="inlineStr">
        <is>
          <t>ANM Community App — Resource &amp; Pricing Assumptions</t>
        </is>
      </c>
    </row>
    <row r="3" ht="17" customHeight="1">
      <c r="A3" s="2" t="inlineStr">
        <is>
          <t>Project</t>
        </is>
      </c>
      <c r="B3" s="3" t="inlineStr">
        <is>
          <t>ANM Community App</t>
        </is>
      </c>
    </row>
    <row r="4" ht="17" customHeight="1">
      <c r="A4" s="2" t="inlineStr">
        <is>
          <t>Client</t>
        </is>
      </c>
      <c r="B4" s="3" t="inlineStr">
        <is>
          <t>ANM — Church &amp; Community Platform</t>
        </is>
      </c>
    </row>
    <row r="5" ht="17" customHeight="1">
      <c r="A5" s="2" t="inlineStr">
        <is>
          <t>Prepared by</t>
        </is>
      </c>
      <c r="B5" s="3" t="inlineStr">
        <is>
          <t>Solution Development Team</t>
        </is>
      </c>
    </row>
    <row r="6" ht="17" customHeight="1">
      <c r="A6" s="2" t="inlineStr">
        <is>
          <t>Date</t>
        </is>
      </c>
      <c r="B6" s="3" t="inlineStr">
        <is>
          <t>June 2025</t>
        </is>
      </c>
    </row>
    <row r="7" ht="17" customHeight="1">
      <c r="A7" s="2" t="inlineStr">
        <is>
          <t>Currency</t>
        </is>
      </c>
      <c r="B7" s="3" t="inlineStr">
        <is>
          <t>USD ($)</t>
        </is>
      </c>
    </row>
    <row r="8" ht="17" customHeight="1">
      <c r="A8" s="2" t="inlineStr">
        <is>
          <t>Version</t>
        </is>
      </c>
      <c r="B8" s="3" t="inlineStr">
        <is>
          <t>v1.0 — Draft</t>
        </is>
      </c>
    </row>
    <row r="10" ht="8" customHeight="1"/>
    <row r="11" ht="22" customHeight="1">
      <c r="A11" s="4" t="inlineStr">
        <is>
          <t xml:space="preserve">  RATE CARD — Daily Rates (USD)</t>
        </is>
      </c>
    </row>
    <row r="12" ht="18" customHeight="1">
      <c r="A12" s="5" t="inlineStr">
        <is>
          <t>Role</t>
        </is>
      </c>
      <c r="B12" s="5" t="inlineStr">
        <is>
          <t>Daily Rate (USD)</t>
        </is>
      </c>
      <c r="C12" s="5" t="inlineStr">
        <is>
          <t>Role ID</t>
        </is>
      </c>
      <c r="D12" s="5" t="inlineStr">
        <is>
          <t>Notes / Scope</t>
        </is>
      </c>
    </row>
    <row r="13" ht="18" customHeight="1">
      <c r="A13" s="6" t="inlineStr">
        <is>
          <t>Project Manager</t>
        </is>
      </c>
      <c r="B13" s="7" t="n">
        <v>900</v>
      </c>
      <c r="C13" s="8" t="inlineStr">
        <is>
          <t>PM</t>
        </is>
      </c>
      <c r="D13" s="9" t="inlineStr">
        <is>
          <t>Sr PM; reporting, risk, ANM stakeholder comms</t>
        </is>
      </c>
    </row>
    <row r="14" ht="18" customHeight="1">
      <c r="A14" s="10" t="inlineStr">
        <is>
          <t>Solution Architect</t>
        </is>
      </c>
      <c r="B14" s="11" t="n">
        <v>1200</v>
      </c>
      <c r="C14" s="12" t="inlineStr">
        <is>
          <t>ARC</t>
        </is>
      </c>
      <c r="D14" s="13" t="inlineStr">
        <is>
          <t>Architecture reviews &amp; formal sign-off gates</t>
        </is>
      </c>
    </row>
    <row r="15" ht="18" customHeight="1">
      <c r="A15" s="6" t="inlineStr">
        <is>
          <t>UI/UX Designer</t>
        </is>
      </c>
      <c r="B15" s="7" t="n">
        <v>800</v>
      </c>
      <c r="C15" s="8" t="inlineStr">
        <is>
          <t>DES</t>
        </is>
      </c>
      <c r="D15" s="9" t="inlineStr">
        <is>
          <t>Figma, design system, UAT design support</t>
        </is>
      </c>
    </row>
    <row r="16" ht="18" customHeight="1">
      <c r="A16" s="10" t="inlineStr">
        <is>
          <t>Mobile Developer (Sr.)</t>
        </is>
      </c>
      <c r="B16" s="11" t="n">
        <v>950</v>
      </c>
      <c r="C16" s="12" t="inlineStr">
        <is>
          <t>MOB</t>
        </is>
      </c>
      <c r="D16" s="13" t="inlineStr">
        <is>
          <t>React Native — iOS &amp; Android cross-platform</t>
        </is>
      </c>
    </row>
    <row r="17" ht="18" customHeight="1">
      <c r="A17" s="6" t="inlineStr">
        <is>
          <t>Backend Developer (Sr.)</t>
        </is>
      </c>
      <c r="B17" s="7" t="n">
        <v>950</v>
      </c>
      <c r="C17" s="8" t="inlineStr">
        <is>
          <t>BAK</t>
        </is>
      </c>
      <c r="D17" s="9" t="inlineStr">
        <is>
          <t>Node.js / Express, MongoDB Atlas, REST APIs</t>
        </is>
      </c>
    </row>
    <row r="18" ht="18" customHeight="1">
      <c r="A18" s="10" t="inlineStr">
        <is>
          <t>DevOps Engineer</t>
        </is>
      </c>
      <c r="B18" s="11" t="n">
        <v>850</v>
      </c>
      <c r="C18" s="12" t="inlineStr">
        <is>
          <t>DEV</t>
        </is>
      </c>
      <c r="D18" s="13" t="inlineStr">
        <is>
          <t>AWS ECS, CI/CD, S3/CloudFront, monitoring</t>
        </is>
      </c>
    </row>
    <row r="19" ht="18" customHeight="1">
      <c r="A19" s="6" t="inlineStr">
        <is>
          <t>QA Engineer</t>
        </is>
      </c>
      <c r="B19" s="7" t="n">
        <v>750</v>
      </c>
      <c r="C19" s="8" t="inlineStr">
        <is>
          <t>QA</t>
        </is>
      </c>
      <c r="D19" s="9" t="inlineStr">
        <is>
          <t>E2E, unit, load, accessibility testing</t>
        </is>
      </c>
    </row>
    <row r="20" ht="18" customHeight="1">
      <c r="A20" s="10" t="inlineStr">
        <is>
          <t>Security Consultant</t>
        </is>
      </c>
      <c r="B20" s="11" t="n">
        <v>1100</v>
      </c>
      <c r="C20" s="12" t="inlineStr">
        <is>
          <t>SEC</t>
        </is>
      </c>
      <c r="D20" s="13" t="inlineStr">
        <is>
          <t>OWASP pentest, audit &amp; sign-off report</t>
        </is>
      </c>
    </row>
    <row r="21" ht="8" customHeight="1"/>
    <row r="22" ht="8" customHeight="1"/>
    <row r="23" ht="22" customHeight="1">
      <c r="A23" s="4" t="inlineStr">
        <is>
          <t xml:space="preserve">  PRICING ASSUMPTIONS</t>
        </is>
      </c>
    </row>
    <row r="24" ht="18" customHeight="1">
      <c r="A24" s="5" t="inlineStr">
        <is>
          <t>Parameter</t>
        </is>
      </c>
      <c r="B24" s="5" t="inlineStr">
        <is>
          <t>Value</t>
        </is>
      </c>
      <c r="D24" s="5" t="inlineStr">
        <is>
          <t>Notes</t>
        </is>
      </c>
    </row>
    <row r="25" ht="18" customHeight="1">
      <c r="A25" s="6" t="inlineStr">
        <is>
          <t>Gross Margin % (on cost)</t>
        </is>
      </c>
      <c r="B25" s="14" t="n">
        <v>0.5</v>
      </c>
      <c r="D25" s="9" t="inlineStr">
        <is>
          <t>50% margin added on top of total cost → client price</t>
        </is>
      </c>
    </row>
    <row r="26" ht="18" customHeight="1">
      <c r="A26" s="10" t="inlineStr">
        <is>
          <t>Working Days / Week</t>
        </is>
      </c>
      <c r="B26" s="15" t="n">
        <v>5</v>
      </c>
      <c r="D26" s="13" t="inlineStr">
        <is>
          <t>Mon–Fri; excludes public holidays &amp; bank holidays</t>
        </is>
      </c>
    </row>
    <row r="27" ht="18" customHeight="1">
      <c r="A27" s="6" t="inlineStr">
        <is>
          <t>Hypercare Duration (weeks)</t>
        </is>
      </c>
      <c r="B27" s="16" t="n">
        <v>2</v>
      </c>
      <c r="D27" s="9" t="inlineStr">
        <is>
          <t>Post go-live monitoring &amp; support period</t>
        </is>
      </c>
    </row>
    <row r="28" ht="18" customHeight="1">
      <c r="A28" s="10" t="inlineStr">
        <is>
          <t>Sprint Length (weeks)</t>
        </is>
      </c>
      <c r="B28" s="15" t="n">
        <v>2</v>
      </c>
      <c r="D28" s="13" t="inlineStr">
        <is>
          <t>Agile: 2-week sprint cadence (5 sprints total)</t>
        </is>
      </c>
    </row>
    <row r="29" ht="18" customHeight="1">
      <c r="A29" s="6" t="inlineStr">
        <is>
          <t>Project Duration — Core (wks)</t>
        </is>
      </c>
      <c r="B29" s="16" t="n">
        <v>10</v>
      </c>
      <c r="D29" s="9" t="inlineStr">
        <is>
          <t>Wk 1 through Wk 10 (Discovery → Go-Live)</t>
        </is>
      </c>
    </row>
    <row r="30" ht="18" customHeight="1">
      <c r="A30" s="10" t="inlineStr">
        <is>
          <t>Total Duration incl. HC (wks)</t>
        </is>
      </c>
      <c r="B30" s="15" t="n">
        <v>12</v>
      </c>
      <c r="D30" s="13" t="inlineStr">
        <is>
          <t>Core 10 weeks + 2 hypercare weeks</t>
        </is>
      </c>
    </row>
    <row r="32" ht="8" customHeight="1"/>
    <row r="33" ht="22" customHeight="1">
      <c r="A33" s="4" t="inlineStr">
        <is>
          <t xml:space="preserve">  COLOR CODING LEGEND</t>
        </is>
      </c>
    </row>
    <row r="34" ht="17" customHeight="1">
      <c r="A34" s="17" t="inlineStr">
        <is>
          <t>Blue text</t>
        </is>
      </c>
      <c r="B34" s="18" t="inlineStr">
        <is>
          <t>(sample)</t>
        </is>
      </c>
      <c r="D34" s="19" t="inlineStr">
        <is>
          <t>Hardcoded input — users may change these for scenario analysis</t>
        </is>
      </c>
    </row>
    <row r="35" ht="17" customHeight="1">
      <c r="A35" s="20" t="inlineStr">
        <is>
          <t>Black text</t>
        </is>
      </c>
      <c r="B35" s="21" t="inlineStr">
        <is>
          <t>(sample)</t>
        </is>
      </c>
      <c r="D35" s="22" t="inlineStr">
        <is>
          <t>Excel formula / calculated value — do not edit manually</t>
        </is>
      </c>
    </row>
    <row r="36" ht="17" customHeight="1">
      <c r="A36" s="23" t="inlineStr">
        <is>
          <t>Green text</t>
        </is>
      </c>
      <c r="B36" s="24" t="inlineStr">
        <is>
          <t>(sample)</t>
        </is>
      </c>
      <c r="D36" s="19" t="inlineStr">
        <is>
          <t>Link pulling from another worksheet within this workbook</t>
        </is>
      </c>
    </row>
  </sheetData>
  <mergeCells count="4">
    <mergeCell ref="A1:D1"/>
    <mergeCell ref="A23:D23"/>
    <mergeCell ref="A33:D33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2" customWidth="1" min="14" max="14"/>
    <col width="11" customWidth="1" min="15" max="15"/>
    <col width="30" customWidth="1" min="16" max="16"/>
  </cols>
  <sheetData>
    <row r="1" ht="40" customHeight="1">
      <c r="A1" s="25" t="inlineStr">
        <is>
          <t>ANM Community App — Resource Loading Plan  (Team-Days per Week)</t>
        </is>
      </c>
    </row>
    <row r="2" ht="20" customHeight="1">
      <c r="A2" s="26" t="inlineStr">
        <is>
          <t>PHASE</t>
        </is>
      </c>
      <c r="B2" s="27" t="inlineStr">
        <is>
          <t>Phase 1: Discovery &amp; Design</t>
        </is>
      </c>
      <c r="D2" s="28" t="inlineStr">
        <is>
          <t>Phase 2: Core Development</t>
        </is>
      </c>
      <c r="H2" s="29" t="inlineStr">
        <is>
          <t>Phase 3: QA &amp; Testing</t>
        </is>
      </c>
      <c r="J2" s="30" t="inlineStr">
        <is>
          <t>Phase 4: Deployment</t>
        </is>
      </c>
      <c r="K2" s="31" t="inlineStr">
        <is>
          <t>Phase 5: Hypercare</t>
        </is>
      </c>
      <c r="N2" s="26" t="inlineStr">
        <is>
          <t>TOTAL</t>
        </is>
      </c>
      <c r="O2" s="26" t="inlineStr">
        <is>
          <t>FTE</t>
        </is>
      </c>
      <c r="P2" s="26" t="inlineStr">
        <is>
          <t>Phase Focus</t>
        </is>
      </c>
    </row>
    <row r="3" ht="18" customHeight="1">
      <c r="A3" s="4" t="inlineStr">
        <is>
          <t>Role</t>
        </is>
      </c>
      <c r="B3" s="26" t="inlineStr">
        <is>
          <t>Wk 1</t>
        </is>
      </c>
      <c r="C3" s="26" t="inlineStr">
        <is>
          <t>Wk 2</t>
        </is>
      </c>
      <c r="D3" s="26" t="inlineStr">
        <is>
          <t>Wk 3</t>
        </is>
      </c>
      <c r="E3" s="26" t="inlineStr">
        <is>
          <t>Wk 4</t>
        </is>
      </c>
      <c r="F3" s="26" t="inlineStr">
        <is>
          <t>Wk 5</t>
        </is>
      </c>
      <c r="G3" s="26" t="inlineStr">
        <is>
          <t>Wk 6</t>
        </is>
      </c>
      <c r="H3" s="26" t="inlineStr">
        <is>
          <t>Wk 7</t>
        </is>
      </c>
      <c r="I3" s="26" t="inlineStr">
        <is>
          <t>Wk 8</t>
        </is>
      </c>
      <c r="J3" s="26" t="inlineStr">
        <is>
          <t>Wk 9</t>
        </is>
      </c>
      <c r="K3" s="26" t="inlineStr">
        <is>
          <t>Wk 10</t>
        </is>
      </c>
      <c r="L3" s="26" t="inlineStr">
        <is>
          <t>HC-1</t>
        </is>
      </c>
      <c r="M3" s="26" t="inlineStr">
        <is>
          <t>HC-2</t>
        </is>
      </c>
      <c r="N3" s="26" t="inlineStr">
        <is>
          <t>Days</t>
        </is>
      </c>
      <c r="O3" s="26" t="inlineStr">
        <is>
          <t>÷50d</t>
        </is>
      </c>
      <c r="P3" s="26" t="inlineStr">
        <is>
          <t>Notes</t>
        </is>
      </c>
    </row>
    <row r="4" ht="20" customHeight="1">
      <c r="A4" s="6" t="inlineStr">
        <is>
          <t>Project Manager</t>
        </is>
      </c>
      <c r="B4" s="32" t="n">
        <v>5</v>
      </c>
      <c r="C4" s="32" t="n">
        <v>5</v>
      </c>
      <c r="D4" s="32" t="n">
        <v>3</v>
      </c>
      <c r="E4" s="32" t="n">
        <v>3</v>
      </c>
      <c r="F4" s="32" t="n">
        <v>3</v>
      </c>
      <c r="G4" s="32" t="n">
        <v>3</v>
      </c>
      <c r="H4" s="32" t="n">
        <v>3</v>
      </c>
      <c r="I4" s="32" t="n">
        <v>3</v>
      </c>
      <c r="J4" s="32" t="n">
        <v>5</v>
      </c>
      <c r="K4" s="32" t="n">
        <v>4</v>
      </c>
      <c r="L4" s="32" t="n">
        <v>2</v>
      </c>
      <c r="M4" s="32" t="n">
        <v>2</v>
      </c>
      <c r="N4" s="33">
        <f>SUM(B4:M4)</f>
        <v/>
      </c>
      <c r="O4" s="34">
        <f>N4/50</f>
        <v/>
      </c>
      <c r="P4" s="9" t="inlineStr">
        <is>
          <t>Discovery → Go-Live → Hypercare oversight</t>
        </is>
      </c>
    </row>
    <row r="5" ht="20" customHeight="1">
      <c r="A5" s="10" t="inlineStr">
        <is>
          <t>Solution Architect</t>
        </is>
      </c>
      <c r="B5" s="35" t="n">
        <v>5</v>
      </c>
      <c r="C5" s="35" t="n">
        <v>5</v>
      </c>
      <c r="D5" s="35" t="n">
        <v>1</v>
      </c>
      <c r="E5" s="35" t="n">
        <v>1</v>
      </c>
      <c r="F5" s="35" t="n">
        <v>1</v>
      </c>
      <c r="G5" s="35" t="n">
        <v>1</v>
      </c>
      <c r="H5" s="35" t="n">
        <v>1</v>
      </c>
      <c r="I5" s="35" t="n">
        <v>1</v>
      </c>
      <c r="J5" s="35" t="n">
        <v>1</v>
      </c>
      <c r="K5" s="35" t="n"/>
      <c r="L5" s="35" t="n"/>
      <c r="M5" s="35" t="n"/>
      <c r="N5" s="33">
        <f>SUM(B5:M5)</f>
        <v/>
      </c>
      <c r="O5" s="34">
        <f>N5/50</f>
        <v/>
      </c>
      <c r="P5" s="13" t="inlineStr">
        <is>
          <t>Discovery, architecture gate &amp; QA gate only</t>
        </is>
      </c>
    </row>
    <row r="6" ht="20" customHeight="1">
      <c r="A6" s="6" t="inlineStr">
        <is>
          <t>UI/UX Designer</t>
        </is>
      </c>
      <c r="B6" s="32" t="n">
        <v>5</v>
      </c>
      <c r="C6" s="32" t="n">
        <v>5</v>
      </c>
      <c r="D6" s="32" t="n">
        <v>2</v>
      </c>
      <c r="E6" s="32" t="n">
        <v>2</v>
      </c>
      <c r="F6" s="32" t="n">
        <v>1</v>
      </c>
      <c r="G6" s="32" t="n">
        <v>1</v>
      </c>
      <c r="H6" s="32" t="n"/>
      <c r="I6" s="32" t="n"/>
      <c r="J6" s="32" t="n"/>
      <c r="K6" s="32" t="n"/>
      <c r="L6" s="32" t="n"/>
      <c r="M6" s="32" t="n"/>
      <c r="N6" s="33">
        <f>SUM(B6:M6)</f>
        <v/>
      </c>
      <c r="O6" s="34">
        <f>N6/50</f>
        <v/>
      </c>
      <c r="P6" s="9" t="inlineStr">
        <is>
          <t>Design-heavy in Wks 1–4; wraps up Wk 6</t>
        </is>
      </c>
    </row>
    <row r="7" ht="20" customHeight="1">
      <c r="A7" s="10" t="inlineStr">
        <is>
          <t>Mobile Developer (Sr.)</t>
        </is>
      </c>
      <c r="B7" s="35" t="n"/>
      <c r="C7" s="35" t="n">
        <v>1</v>
      </c>
      <c r="D7" s="35" t="n">
        <v>5</v>
      </c>
      <c r="E7" s="35" t="n">
        <v>5</v>
      </c>
      <c r="F7" s="35" t="n">
        <v>5</v>
      </c>
      <c r="G7" s="35" t="n">
        <v>5</v>
      </c>
      <c r="H7" s="35" t="n">
        <v>3</v>
      </c>
      <c r="I7" s="35" t="n">
        <v>3</v>
      </c>
      <c r="J7" s="35" t="n">
        <v>4</v>
      </c>
      <c r="K7" s="35" t="n">
        <v>2</v>
      </c>
      <c r="L7" s="35" t="n">
        <v>2</v>
      </c>
      <c r="M7" s="35" t="n">
        <v>2</v>
      </c>
      <c r="N7" s="33">
        <f>SUM(B7:M7)</f>
        <v/>
      </c>
      <c r="O7" s="34">
        <f>N7/50</f>
        <v/>
      </c>
      <c r="P7" s="13" t="inlineStr">
        <is>
          <t>Full dev sprints 2–5; bug-fix in QA &amp; HC</t>
        </is>
      </c>
    </row>
    <row r="8" ht="20" customHeight="1">
      <c r="A8" s="6" t="inlineStr">
        <is>
          <t>Backend Developer (Sr.)</t>
        </is>
      </c>
      <c r="B8" s="32" t="n">
        <v>2</v>
      </c>
      <c r="C8" s="32" t="n">
        <v>2</v>
      </c>
      <c r="D8" s="32" t="n">
        <v>5</v>
      </c>
      <c r="E8" s="32" t="n">
        <v>5</v>
      </c>
      <c r="F8" s="32" t="n">
        <v>5</v>
      </c>
      <c r="G8" s="32" t="n">
        <v>5</v>
      </c>
      <c r="H8" s="32" t="n">
        <v>3</v>
      </c>
      <c r="I8" s="32" t="n">
        <v>3</v>
      </c>
      <c r="J8" s="32" t="n">
        <v>3</v>
      </c>
      <c r="K8" s="32" t="n">
        <v>1</v>
      </c>
      <c r="L8" s="32" t="n">
        <v>2</v>
      </c>
      <c r="M8" s="32" t="n">
        <v>2</v>
      </c>
      <c r="N8" s="33">
        <f>SUM(B8:M8)</f>
        <v/>
      </c>
      <c r="O8" s="34">
        <f>N8/50</f>
        <v/>
      </c>
      <c r="P8" s="9" t="inlineStr">
        <is>
          <t>API design Wks 1–2; full from Wk 3 onward</t>
        </is>
      </c>
    </row>
    <row r="9" ht="20" customHeight="1">
      <c r="A9" s="10" t="inlineStr">
        <is>
          <t>DevOps Engineer</t>
        </is>
      </c>
      <c r="B9" s="35" t="n">
        <v>3</v>
      </c>
      <c r="C9" s="35" t="n">
        <v>3</v>
      </c>
      <c r="D9" s="35" t="n">
        <v>2</v>
      </c>
      <c r="E9" s="35" t="n">
        <v>2</v>
      </c>
      <c r="F9" s="35" t="n">
        <v>2</v>
      </c>
      <c r="G9" s="35" t="n">
        <v>2</v>
      </c>
      <c r="H9" s="35" t="n">
        <v>2</v>
      </c>
      <c r="I9" s="35" t="n">
        <v>2</v>
      </c>
      <c r="J9" s="35" t="n">
        <v>5</v>
      </c>
      <c r="K9" s="35" t="n">
        <v>4</v>
      </c>
      <c r="L9" s="35" t="n">
        <v>3</v>
      </c>
      <c r="M9" s="35" t="n">
        <v>3</v>
      </c>
      <c r="N9" s="33">
        <f>SUM(B9:M9)</f>
        <v/>
      </c>
      <c r="O9" s="34">
        <f>N9/50</f>
        <v/>
      </c>
      <c r="P9" s="13" t="inlineStr">
        <is>
          <t>Env setup Wks 1–2; full prod deploy Wk 9</t>
        </is>
      </c>
    </row>
    <row r="10" ht="20" customHeight="1">
      <c r="A10" s="6" t="inlineStr">
        <is>
          <t>QA Engineer</t>
        </is>
      </c>
      <c r="B10" s="32" t="n"/>
      <c r="C10" s="32" t="n"/>
      <c r="D10" s="32" t="n">
        <v>1</v>
      </c>
      <c r="E10" s="32" t="n">
        <v>1</v>
      </c>
      <c r="F10" s="32" t="n">
        <v>1</v>
      </c>
      <c r="G10" s="32" t="n">
        <v>1</v>
      </c>
      <c r="H10" s="32" t="n">
        <v>5</v>
      </c>
      <c r="I10" s="32" t="n">
        <v>5</v>
      </c>
      <c r="J10" s="32" t="n">
        <v>3</v>
      </c>
      <c r="K10" s="32" t="n">
        <v>1</v>
      </c>
      <c r="L10" s="32" t="n">
        <v>1</v>
      </c>
      <c r="M10" s="32" t="n">
        <v>1</v>
      </c>
      <c r="N10" s="33">
        <f>SUM(B10:M10)</f>
        <v/>
      </c>
      <c r="O10" s="34">
        <f>N10/50</f>
        <v/>
      </c>
      <c r="P10" s="9" t="inlineStr">
        <is>
          <t>Light in dev; full engagement Wks 7–8</t>
        </is>
      </c>
    </row>
    <row r="11" ht="20" customHeight="1">
      <c r="A11" s="10" t="inlineStr">
        <is>
          <t>Security Consultant</t>
        </is>
      </c>
      <c r="B11" s="35" t="n"/>
      <c r="C11" s="35" t="n"/>
      <c r="D11" s="35" t="n"/>
      <c r="E11" s="35" t="n"/>
      <c r="F11" s="35" t="n"/>
      <c r="G11" s="35" t="n"/>
      <c r="H11" s="35" t="n">
        <v>4</v>
      </c>
      <c r="I11" s="35" t="n">
        <v>4</v>
      </c>
      <c r="J11" s="35" t="n"/>
      <c r="K11" s="35" t="n"/>
      <c r="L11" s="35" t="n"/>
      <c r="M11" s="35" t="n"/>
      <c r="N11" s="33">
        <f>SUM(B11:M11)</f>
        <v/>
      </c>
      <c r="O11" s="34">
        <f>N11/50</f>
        <v/>
      </c>
      <c r="P11" s="13" t="inlineStr">
        <is>
          <t>OWASP pentest Wks 7–8 only; written report</t>
        </is>
      </c>
    </row>
    <row r="12" ht="22" customHeight="1">
      <c r="A12" s="4" t="inlineStr">
        <is>
          <t>TOTAL TEAM-DAYS / WEEK</t>
        </is>
      </c>
      <c r="B12" s="36">
        <f>SUM(B4:B11)</f>
        <v/>
      </c>
      <c r="C12" s="36">
        <f>SUM(C4:C11)</f>
        <v/>
      </c>
      <c r="D12" s="36">
        <f>SUM(D4:D11)</f>
        <v/>
      </c>
      <c r="E12" s="36">
        <f>SUM(E4:E11)</f>
        <v/>
      </c>
      <c r="F12" s="36">
        <f>SUM(F4:F11)</f>
        <v/>
      </c>
      <c r="G12" s="36">
        <f>SUM(G4:G11)</f>
        <v/>
      </c>
      <c r="H12" s="36">
        <f>SUM(H4:H11)</f>
        <v/>
      </c>
      <c r="I12" s="36">
        <f>SUM(I4:I11)</f>
        <v/>
      </c>
      <c r="J12" s="36">
        <f>SUM(J4:J11)</f>
        <v/>
      </c>
      <c r="K12" s="36">
        <f>SUM(K4:K11)</f>
        <v/>
      </c>
      <c r="L12" s="36">
        <f>SUM(L4:L11)</f>
        <v/>
      </c>
      <c r="M12" s="36">
        <f>SUM(M4:M11)</f>
        <v/>
      </c>
      <c r="N12" s="36">
        <f>SUM(N4:N11)</f>
        <v/>
      </c>
    </row>
    <row r="13" ht="17" customHeight="1">
      <c r="A13" s="37" t="inlineStr">
        <is>
          <t>Max capacity (8 roles × 5d)</t>
        </is>
      </c>
      <c r="B13" s="38" t="n">
        <v>40</v>
      </c>
      <c r="C13" s="38" t="n">
        <v>40</v>
      </c>
      <c r="D13" s="38" t="n">
        <v>40</v>
      </c>
      <c r="E13" s="38" t="n">
        <v>40</v>
      </c>
      <c r="F13" s="38" t="n">
        <v>40</v>
      </c>
      <c r="G13" s="38" t="n">
        <v>40</v>
      </c>
      <c r="H13" s="38" t="n">
        <v>40</v>
      </c>
      <c r="I13" s="38" t="n">
        <v>40</v>
      </c>
      <c r="J13" s="38" t="n">
        <v>40</v>
      </c>
      <c r="K13" s="38" t="n">
        <v>40</v>
      </c>
      <c r="L13" s="38" t="n">
        <v>40</v>
      </c>
      <c r="M13" s="38" t="n">
        <v>40</v>
      </c>
      <c r="N13" s="39">
        <f>SUM(B13:M13)</f>
        <v/>
      </c>
    </row>
    <row r="14" ht="17" customHeight="1">
      <c r="A14" s="37" t="inlineStr">
        <is>
          <t>Utilisation %</t>
        </is>
      </c>
      <c r="B14" s="40">
        <f>IFERROR(B12/B13,"-")</f>
        <v/>
      </c>
      <c r="C14" s="40">
        <f>IFERROR(C12/C13,"-")</f>
        <v/>
      </c>
      <c r="D14" s="40">
        <f>IFERROR(D12/D13,"-")</f>
        <v/>
      </c>
      <c r="E14" s="40">
        <f>IFERROR(E12/E13,"-")</f>
        <v/>
      </c>
      <c r="F14" s="40">
        <f>IFERROR(F12/F13,"-")</f>
        <v/>
      </c>
      <c r="G14" s="40">
        <f>IFERROR(G12/G13,"-")</f>
        <v/>
      </c>
      <c r="H14" s="40">
        <f>IFERROR(H12/H13,"-")</f>
        <v/>
      </c>
      <c r="I14" s="40">
        <f>IFERROR(I12/I13,"-")</f>
        <v/>
      </c>
      <c r="J14" s="40">
        <f>IFERROR(J12/J13,"-")</f>
        <v/>
      </c>
      <c r="K14" s="40">
        <f>IFERROR(K12/K13,"-")</f>
        <v/>
      </c>
      <c r="L14" s="40">
        <f>IFERROR(L12/L13,"-")</f>
        <v/>
      </c>
      <c r="M14" s="40">
        <f>IFERROR(M12/M13,"-")</f>
        <v/>
      </c>
    </row>
    <row r="16" ht="8" customHeight="1"/>
    <row r="17" ht="20" customHeight="1">
      <c r="A17" s="4" t="inlineStr">
        <is>
          <t xml:space="preserve">  PHASE SUMMARY</t>
        </is>
      </c>
    </row>
    <row r="18" ht="17" customHeight="1">
      <c r="A18" s="41" t="inlineStr">
        <is>
          <t>Phase</t>
        </is>
      </c>
      <c r="B18" s="41" t="inlineStr">
        <is>
          <t>Weeks</t>
        </is>
      </c>
      <c r="C18" s="41" t="inlineStr">
        <is>
          <t>Team-Days</t>
        </is>
      </c>
      <c r="D18" s="41" t="inlineStr">
        <is>
          <t>% of Total</t>
        </is>
      </c>
      <c r="E18" s="41" t="inlineStr">
        <is>
          <t>Avg daily headcount</t>
        </is>
      </c>
    </row>
    <row r="19" ht="17" customHeight="1">
      <c r="A19" s="42" t="inlineStr">
        <is>
          <t>Phase 1: Discovery &amp; Design</t>
        </is>
      </c>
      <c r="B19" s="43" t="inlineStr">
        <is>
          <t>Wks 1–2</t>
        </is>
      </c>
      <c r="C19" s="44">
        <f>SUM(B12:C12)</f>
        <v/>
      </c>
      <c r="D19" s="45">
        <f>IFERROR(C19/C24,"-")</f>
        <v/>
      </c>
      <c r="E19" s="46">
        <f>IFERROR(ROUND(C19/(2*5),1),"-")</f>
        <v/>
      </c>
    </row>
    <row r="20" ht="17" customHeight="1">
      <c r="A20" s="47" t="inlineStr">
        <is>
          <t>Phase 2: Core Development</t>
        </is>
      </c>
      <c r="B20" s="48" t="inlineStr">
        <is>
          <t>Wks 3–6</t>
        </is>
      </c>
      <c r="C20" s="49">
        <f>SUM(D12:G12)</f>
        <v/>
      </c>
      <c r="D20" s="50">
        <f>IFERROR(C20/C24,"-")</f>
        <v/>
      </c>
      <c r="E20" s="51">
        <f>IFERROR(ROUND(C20/(4*5),1),"-")</f>
        <v/>
      </c>
    </row>
    <row r="21" ht="17" customHeight="1">
      <c r="A21" s="42" t="inlineStr">
        <is>
          <t>Phase 3: QA &amp; Testing</t>
        </is>
      </c>
      <c r="B21" s="43" t="inlineStr">
        <is>
          <t>Wks 7–8</t>
        </is>
      </c>
      <c r="C21" s="44">
        <f>SUM(H12:I12)</f>
        <v/>
      </c>
      <c r="D21" s="45">
        <f>IFERROR(C21/C24,"-")</f>
        <v/>
      </c>
      <c r="E21" s="46">
        <f>IFERROR(ROUND(C21/(2*5),1),"-")</f>
        <v/>
      </c>
    </row>
    <row r="22" ht="17" customHeight="1">
      <c r="A22" s="47" t="inlineStr">
        <is>
          <t>Phase 4: Deployment</t>
        </is>
      </c>
      <c r="B22" s="48" t="inlineStr">
        <is>
          <t>Wk 9</t>
        </is>
      </c>
      <c r="C22" s="49">
        <f>J12</f>
        <v/>
      </c>
      <c r="D22" s="50">
        <f>IFERROR(C22/C24,"-")</f>
        <v/>
      </c>
      <c r="E22" s="51">
        <f>IFERROR(ROUND(C22/(1*5),1),"-")</f>
        <v/>
      </c>
    </row>
    <row r="23" ht="17" customHeight="1">
      <c r="A23" s="42" t="inlineStr">
        <is>
          <t>Phase 5: Hypercare (Wk10+HC)</t>
        </is>
      </c>
      <c r="B23" s="43" t="inlineStr">
        <is>
          <t>Wks 10–12</t>
        </is>
      </c>
      <c r="C23" s="44">
        <f>SUM(K12:M12)</f>
        <v/>
      </c>
      <c r="D23" s="45">
        <f>IFERROR(C23/C24,"-")</f>
        <v/>
      </c>
      <c r="E23" s="46">
        <f>IFERROR(ROUND(C23/(3*5),1),"-")</f>
        <v/>
      </c>
    </row>
    <row r="24" ht="17" customHeight="1">
      <c r="A24" s="52" t="inlineStr">
        <is>
          <t>TOTAL</t>
        </is>
      </c>
      <c r="B24" s="53" t="inlineStr">
        <is>
          <t>12 wks</t>
        </is>
      </c>
      <c r="C24" s="54">
        <f>SUM(B12:M12)</f>
        <v/>
      </c>
      <c r="D24" s="55">
        <f>IFERROR(C24/C24,"-")</f>
        <v/>
      </c>
      <c r="E24" s="56">
        <f>IFERROR(ROUND(C24/(12*5),1),"-")</f>
        <v/>
      </c>
    </row>
  </sheetData>
  <mergeCells count="7">
    <mergeCell ref="B2:C2"/>
    <mergeCell ref="H2:I2"/>
    <mergeCell ref="K2:M2"/>
    <mergeCell ref="A1:P1"/>
    <mergeCell ref="D2:G2"/>
    <mergeCell ref="J2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13" customWidth="1" min="4" max="4"/>
    <col width="13" customWidth="1" min="5" max="5"/>
    <col width="18" customWidth="1" min="6" max="6"/>
    <col width="16" customWidth="1" min="7" max="7"/>
    <col width="18" customWidth="1" min="8" max="8"/>
    <col width="11" customWidth="1" min="9" max="9"/>
    <col width="28" customWidth="1" min="10" max="10"/>
  </cols>
  <sheetData>
    <row r="1" ht="40" customHeight="1">
      <c r="A1" s="25" t="inlineStr">
        <is>
          <t>ANM Community App — Cost Build-up &amp; Pricing Model</t>
        </is>
      </c>
    </row>
    <row r="2" ht="14" customHeight="1">
      <c r="A2" s="57" t="inlineStr">
        <is>
          <t>Green = cross-sheet link  ·  Blue = editable input  ·  Black = formula  ·  Margin applied in rows 14–17  ·  Amounts in USD</t>
        </is>
      </c>
    </row>
    <row r="3" ht="30" customHeight="1">
      <c r="A3" s="58" t="inlineStr">
        <is>
          <t>Role</t>
        </is>
      </c>
      <c r="B3" s="58" t="inlineStr">
        <is>
          <t>Daily Rate (USD)</t>
        </is>
      </c>
      <c r="C3" s="58" t="inlineStr">
        <is>
          <t>Project Days
(Wks 1–10)</t>
        </is>
      </c>
      <c r="D3" s="58" t="inlineStr">
        <is>
          <t>HC Days
(2 wks)</t>
        </is>
      </c>
      <c r="E3" s="58" t="inlineStr">
        <is>
          <t>Total
Days</t>
        </is>
      </c>
      <c r="F3" s="58" t="inlineStr">
        <is>
          <t>Project Cost
(USD)</t>
        </is>
      </c>
      <c r="G3" s="58" t="inlineStr">
        <is>
          <t>HC Cost
(USD)</t>
        </is>
      </c>
      <c r="H3" s="58" t="inlineStr">
        <is>
          <t>Total Cost
(USD)</t>
        </is>
      </c>
      <c r="I3" s="58" t="inlineStr">
        <is>
          <t>% of
Total</t>
        </is>
      </c>
      <c r="J3" s="58" t="inlineStr">
        <is>
          <t>Source / Notes</t>
        </is>
      </c>
    </row>
    <row r="4" ht="20" customHeight="1">
      <c r="A4" s="6" t="inlineStr">
        <is>
          <t>Project Manager</t>
        </is>
      </c>
      <c r="B4" s="59">
        <f>Assumptions!B13</f>
        <v/>
      </c>
      <c r="C4" s="60">
        <f>SUM('Resource Plan'!B4:K4)</f>
        <v/>
      </c>
      <c r="D4" s="60">
        <f>SUM('Resource Plan'!L4:M4)</f>
        <v/>
      </c>
      <c r="E4" s="61">
        <f>C4+D4</f>
        <v/>
      </c>
      <c r="F4" s="62">
        <f>B4*C4</f>
        <v/>
      </c>
      <c r="G4" s="62">
        <f>B4*D4</f>
        <v/>
      </c>
      <c r="H4" s="62">
        <f>F4+G4</f>
        <v/>
      </c>
      <c r="I4" s="63">
        <f>IFERROR(H4/H12,0)</f>
        <v/>
      </c>
      <c r="J4" s="64" t="inlineStr">
        <is>
          <t>Source: Assumptions!B13  |  Days: Resource Plan rows 4, cols B:K and L:M</t>
        </is>
      </c>
    </row>
    <row r="5" ht="20" customHeight="1">
      <c r="A5" s="10" t="inlineStr">
        <is>
          <t>Solution Architect</t>
        </is>
      </c>
      <c r="B5" s="65">
        <f>Assumptions!B14</f>
        <v/>
      </c>
      <c r="C5" s="66">
        <f>SUM('Resource Plan'!B5:K5)</f>
        <v/>
      </c>
      <c r="D5" s="66">
        <f>SUM('Resource Plan'!L5:M5)</f>
        <v/>
      </c>
      <c r="E5" s="67">
        <f>C5+D5</f>
        <v/>
      </c>
      <c r="F5" s="68">
        <f>B5*C5</f>
        <v/>
      </c>
      <c r="G5" s="68">
        <f>B5*D5</f>
        <v/>
      </c>
      <c r="H5" s="68">
        <f>F5+G5</f>
        <v/>
      </c>
      <c r="I5" s="69">
        <f>IFERROR(H5/H12,0)</f>
        <v/>
      </c>
      <c r="J5" s="64" t="inlineStr">
        <is>
          <t>Source: Assumptions!B14  |  Primarily Wks 1–2; gates in later phases</t>
        </is>
      </c>
    </row>
    <row r="6" ht="20" customHeight="1">
      <c r="A6" s="6" t="inlineStr">
        <is>
          <t>UI/UX Designer</t>
        </is>
      </c>
      <c r="B6" s="59">
        <f>Assumptions!B15</f>
        <v/>
      </c>
      <c r="C6" s="60">
        <f>SUM('Resource Plan'!B6:K6)</f>
        <v/>
      </c>
      <c r="D6" s="60">
        <f>SUM('Resource Plan'!L6:M6)</f>
        <v/>
      </c>
      <c r="E6" s="61">
        <f>C6+D6</f>
        <v/>
      </c>
      <c r="F6" s="62">
        <f>B6*C6</f>
        <v/>
      </c>
      <c r="G6" s="62">
        <f>B6*D6</f>
        <v/>
      </c>
      <c r="H6" s="62">
        <f>F6+G6</f>
        <v/>
      </c>
      <c r="I6" s="63">
        <f>IFERROR(H6/H12,0)</f>
        <v/>
      </c>
      <c r="J6" s="64" t="inlineStr">
        <is>
          <t>Source: Assumptions!B15  |  Design-heavy Wks 1–4; wraps by Wk 6</t>
        </is>
      </c>
    </row>
    <row r="7" ht="20" customHeight="1">
      <c r="A7" s="10" t="inlineStr">
        <is>
          <t>Mobile Developer (Sr.)</t>
        </is>
      </c>
      <c r="B7" s="65">
        <f>Assumptions!B16</f>
        <v/>
      </c>
      <c r="C7" s="66">
        <f>SUM('Resource Plan'!B7:K7)</f>
        <v/>
      </c>
      <c r="D7" s="66">
        <f>SUM('Resource Plan'!L7:M7)</f>
        <v/>
      </c>
      <c r="E7" s="67">
        <f>C7+D7</f>
        <v/>
      </c>
      <c r="F7" s="68">
        <f>B7*C7</f>
        <v/>
      </c>
      <c r="G7" s="68">
        <f>B7*D7</f>
        <v/>
      </c>
      <c r="H7" s="68">
        <f>F7+G7</f>
        <v/>
      </c>
      <c r="I7" s="69">
        <f>IFERROR(H7/H12,0)</f>
        <v/>
      </c>
      <c r="J7" s="64" t="inlineStr">
        <is>
          <t>Source: Assumptions!B16  |  Full sprints Wks 3–8; part-time in HC</t>
        </is>
      </c>
    </row>
    <row r="8" ht="20" customHeight="1">
      <c r="A8" s="6" t="inlineStr">
        <is>
          <t>Backend Developer (Sr.)</t>
        </is>
      </c>
      <c r="B8" s="59">
        <f>Assumptions!B17</f>
        <v/>
      </c>
      <c r="C8" s="60">
        <f>SUM('Resource Plan'!B8:K8)</f>
        <v/>
      </c>
      <c r="D8" s="60">
        <f>SUM('Resource Plan'!L8:M8)</f>
        <v/>
      </c>
      <c r="E8" s="61">
        <f>C8+D8</f>
        <v/>
      </c>
      <c r="F8" s="62">
        <f>B8*C8</f>
        <v/>
      </c>
      <c r="G8" s="62">
        <f>B8*D8</f>
        <v/>
      </c>
      <c r="H8" s="62">
        <f>F8+G8</f>
        <v/>
      </c>
      <c r="I8" s="63">
        <f>IFERROR(H8/H12,0)</f>
        <v/>
      </c>
      <c r="J8" s="64" t="inlineStr">
        <is>
          <t>Source: Assumptions!B17  |  Full sprints Wks 3–8; part-time in HC</t>
        </is>
      </c>
    </row>
    <row r="9" ht="20" customHeight="1">
      <c r="A9" s="10" t="inlineStr">
        <is>
          <t>DevOps Engineer</t>
        </is>
      </c>
      <c r="B9" s="65">
        <f>Assumptions!B18</f>
        <v/>
      </c>
      <c r="C9" s="66">
        <f>SUM('Resource Plan'!B9:K9)</f>
        <v/>
      </c>
      <c r="D9" s="66">
        <f>SUM('Resource Plan'!L9:M9)</f>
        <v/>
      </c>
      <c r="E9" s="67">
        <f>C9+D9</f>
        <v/>
      </c>
      <c r="F9" s="68">
        <f>B9*C9</f>
        <v/>
      </c>
      <c r="G9" s="68">
        <f>B9*D9</f>
        <v/>
      </c>
      <c r="H9" s="68">
        <f>F9+G9</f>
        <v/>
      </c>
      <c r="I9" s="69">
        <f>IFERROR(H9/H12,0)</f>
        <v/>
      </c>
      <c r="J9" s="64" t="inlineStr">
        <is>
          <t>Source: Assumptions!B18  |  Env setup Wks 1–2; full deployment Wk 9</t>
        </is>
      </c>
    </row>
    <row r="10" ht="20" customHeight="1">
      <c r="A10" s="6" t="inlineStr">
        <is>
          <t>QA Engineer</t>
        </is>
      </c>
      <c r="B10" s="59">
        <f>Assumptions!B19</f>
        <v/>
      </c>
      <c r="C10" s="60">
        <f>SUM('Resource Plan'!B10:K10)</f>
        <v/>
      </c>
      <c r="D10" s="60">
        <f>SUM('Resource Plan'!L10:M10)</f>
        <v/>
      </c>
      <c r="E10" s="61">
        <f>C10+D10</f>
        <v/>
      </c>
      <c r="F10" s="62">
        <f>B10*C10</f>
        <v/>
      </c>
      <c r="G10" s="62">
        <f>B10*D10</f>
        <v/>
      </c>
      <c r="H10" s="62">
        <f>F10+G10</f>
        <v/>
      </c>
      <c r="I10" s="63">
        <f>IFERROR(H10/H12,0)</f>
        <v/>
      </c>
      <c r="J10" s="64" t="inlineStr">
        <is>
          <t>Source: Assumptions!B19  |  Full engagement Wks 7–8 QA phase</t>
        </is>
      </c>
    </row>
    <row r="11" ht="20" customHeight="1">
      <c r="A11" s="10" t="inlineStr">
        <is>
          <t>Security Consultant</t>
        </is>
      </c>
      <c r="B11" s="65">
        <f>Assumptions!B20</f>
        <v/>
      </c>
      <c r="C11" s="66">
        <f>SUM('Resource Plan'!B11:K11)</f>
        <v/>
      </c>
      <c r="D11" s="66">
        <f>SUM('Resource Plan'!L11:M11)</f>
        <v/>
      </c>
      <c r="E11" s="67">
        <f>C11+D11</f>
        <v/>
      </c>
      <c r="F11" s="68">
        <f>B11*C11</f>
        <v/>
      </c>
      <c r="G11" s="68">
        <f>B11*D11</f>
        <v/>
      </c>
      <c r="H11" s="68">
        <f>F11+G11</f>
        <v/>
      </c>
      <c r="I11" s="69">
        <f>IFERROR(H11/H12,0)</f>
        <v/>
      </c>
      <c r="J11" s="64" t="inlineStr">
        <is>
          <t>Source: Assumptions!B20  |  OWASP pentest Wks 7–8 only; fixed scope</t>
        </is>
      </c>
    </row>
    <row r="12" ht="22" customHeight="1">
      <c r="A12" s="4" t="inlineStr">
        <is>
          <t xml:space="preserve">  TOTAL COST  (before margin)</t>
        </is>
      </c>
      <c r="B12" s="70" t="n"/>
      <c r="C12" s="36">
        <f>SUM(C4:C11)</f>
        <v/>
      </c>
      <c r="D12" s="36">
        <f>SUM(D4:D11)</f>
        <v/>
      </c>
      <c r="E12" s="36">
        <f>SUM(E4:E11)</f>
        <v/>
      </c>
      <c r="F12" s="71">
        <f>SUM(F4:F11)</f>
        <v/>
      </c>
      <c r="G12" s="71">
        <f>SUM(G4:G11)</f>
        <v/>
      </c>
      <c r="H12" s="71">
        <f>SUM(H4:H11)</f>
        <v/>
      </c>
      <c r="I12" s="72" t="inlineStr">
        <is>
          <t>100.0%</t>
        </is>
      </c>
    </row>
    <row r="13" ht="8" customHeight="1"/>
    <row r="14" ht="26" customHeight="1">
      <c r="A14" s="73" t="inlineStr">
        <is>
          <t>Total Cost (USD)</t>
        </is>
      </c>
      <c r="H14" s="74">
        <f>H12</f>
        <v/>
      </c>
    </row>
    <row r="15" ht="26" customHeight="1">
      <c r="A15" s="75" t="inlineStr">
        <is>
          <t>Gross Margin % (50%)</t>
        </is>
      </c>
      <c r="H15" s="76">
        <f>Assumptions!B25</f>
        <v/>
      </c>
    </row>
    <row r="16" ht="26" customHeight="1">
      <c r="A16" s="77" t="inlineStr">
        <is>
          <t>Margin Amount (USD)</t>
        </is>
      </c>
      <c r="H16" s="78">
        <f>H14*H15</f>
        <v/>
      </c>
    </row>
    <row r="17" ht="26" customHeight="1">
      <c r="A17" s="79" t="inlineStr">
        <is>
          <t>TOTAL CLIENT PRICE (USD)</t>
        </is>
      </c>
      <c r="H17" s="80">
        <f>H14+H16</f>
        <v/>
      </c>
    </row>
    <row r="18" ht="8" customHeight="1"/>
    <row r="19" ht="22" customHeight="1">
      <c r="A19" s="4" t="inlineStr">
        <is>
          <t xml:space="preserve">  COST &amp; PRICE BY DELIVERY PHASE</t>
        </is>
      </c>
    </row>
    <row r="20" ht="28" customHeight="1">
      <c r="A20" s="81" t="inlineStr">
        <is>
          <t>Phase</t>
        </is>
      </c>
      <c r="B20" s="81" t="inlineStr">
        <is>
          <t>Weeks</t>
        </is>
      </c>
      <c r="C20" s="81" t="inlineStr">
        <is>
          <t>Team-Days</t>
        </is>
      </c>
      <c r="D20" s="81" t="inlineStr">
        <is>
          <t>Proportional Cost (USD)</t>
        </is>
      </c>
      <c r="E20" s="81" t="inlineStr">
        <is>
          <t>Selling Price
incl. 50% Margin</t>
        </is>
      </c>
      <c r="F20" s="81" t="inlineStr">
        <is>
          <t>% of Total Price</t>
        </is>
      </c>
    </row>
    <row r="21" ht="18" customHeight="1">
      <c r="A21" s="42" t="inlineStr">
        <is>
          <t>Phase 1: Discovery &amp; Design</t>
        </is>
      </c>
      <c r="B21" s="43" t="inlineStr">
        <is>
          <t>Wks 1–2</t>
        </is>
      </c>
      <c r="C21" s="60">
        <f>SUM('Resource Plan'!B12:C12)</f>
        <v/>
      </c>
      <c r="D21" s="82">
        <f>IFERROR(C21/E12*H12,0)</f>
        <v/>
      </c>
      <c r="E21" s="83">
        <f>IFERROR(D21*(1+Assumptions!B25),0)</f>
        <v/>
      </c>
      <c r="F21" s="45">
        <f>IFERROR(E21/H17,"-")</f>
        <v/>
      </c>
    </row>
    <row r="22" ht="18" customHeight="1">
      <c r="A22" s="47" t="inlineStr">
        <is>
          <t>Phase 2: Core Development</t>
        </is>
      </c>
      <c r="B22" s="48" t="inlineStr">
        <is>
          <t>Wks 3–6</t>
        </is>
      </c>
      <c r="C22" s="66">
        <f>SUM('Resource Plan'!D12:G12)</f>
        <v/>
      </c>
      <c r="D22" s="84">
        <f>IFERROR(C22/E12*H12,0)</f>
        <v/>
      </c>
      <c r="E22" s="85">
        <f>IFERROR(D22*(1+Assumptions!B25),0)</f>
        <v/>
      </c>
      <c r="F22" s="50">
        <f>IFERROR(E22/H17,"-")</f>
        <v/>
      </c>
    </row>
    <row r="23" ht="18" customHeight="1">
      <c r="A23" s="42" t="inlineStr">
        <is>
          <t>Phase 3: QA &amp; Testing</t>
        </is>
      </c>
      <c r="B23" s="43" t="inlineStr">
        <is>
          <t>Wks 7–8</t>
        </is>
      </c>
      <c r="C23" s="60">
        <f>SUM('Resource Plan'!H12:I12)</f>
        <v/>
      </c>
      <c r="D23" s="82">
        <f>IFERROR(C23/E12*H12,0)</f>
        <v/>
      </c>
      <c r="E23" s="83">
        <f>IFERROR(D23*(1+Assumptions!B25),0)</f>
        <v/>
      </c>
      <c r="F23" s="45">
        <f>IFERROR(E23/H17,"-")</f>
        <v/>
      </c>
    </row>
    <row r="24" ht="18" customHeight="1">
      <c r="A24" s="47" t="inlineStr">
        <is>
          <t>Phase 4: Deployment</t>
        </is>
      </c>
      <c r="B24" s="48" t="inlineStr">
        <is>
          <t>Wk 9</t>
        </is>
      </c>
      <c r="C24" s="66">
        <f>'Resource Plan'!J12</f>
        <v/>
      </c>
      <c r="D24" s="84">
        <f>IFERROR(C24/E12*H12,0)</f>
        <v/>
      </c>
      <c r="E24" s="85">
        <f>IFERROR(D24*(1+Assumptions!B25),0)</f>
        <v/>
      </c>
      <c r="F24" s="50">
        <f>IFERROR(E24/H17,"-")</f>
        <v/>
      </c>
    </row>
    <row r="25" ht="18" customHeight="1">
      <c r="A25" s="42" t="inlineStr">
        <is>
          <t>Phase 5: Hypercare (Wk10+HC)</t>
        </is>
      </c>
      <c r="B25" s="43" t="inlineStr">
        <is>
          <t>Wks 10–12</t>
        </is>
      </c>
      <c r="C25" s="60">
        <f>SUM('Resource Plan'!K12:M12)</f>
        <v/>
      </c>
      <c r="D25" s="82">
        <f>IFERROR(C25/E12*H12,0)</f>
        <v/>
      </c>
      <c r="E25" s="83">
        <f>IFERROR(D25*(1+Assumptions!B25),0)</f>
        <v/>
      </c>
      <c r="F25" s="45">
        <f>IFERROR(E25/H17,"-")</f>
        <v/>
      </c>
    </row>
    <row r="26" ht="18" customHeight="1">
      <c r="A26" s="52" t="inlineStr">
        <is>
          <t>TOTAL</t>
        </is>
      </c>
      <c r="B26" s="53" t="inlineStr">
        <is>
          <t>12 wks</t>
        </is>
      </c>
      <c r="C26" s="54">
        <f>E12</f>
        <v/>
      </c>
      <c r="D26" s="86">
        <f>IFERROR(C26/E12*H12,0)</f>
        <v/>
      </c>
      <c r="E26" s="87">
        <f>IFERROR(D26*(1+Assumptions!B25),0)</f>
        <v/>
      </c>
      <c r="F26" s="55">
        <f>IFERROR(E26/H17,"-")</f>
        <v/>
      </c>
    </row>
  </sheetData>
  <mergeCells count="7">
    <mergeCell ref="A1:J1"/>
    <mergeCell ref="A14:G14"/>
    <mergeCell ref="A17:G17"/>
    <mergeCell ref="A16:G16"/>
    <mergeCell ref="A15:G15"/>
    <mergeCell ref="A2:J2"/>
    <mergeCell ref="A19:J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7" customWidth="1" min="12" max="12"/>
    <col width="16" customWidth="1" min="13" max="13"/>
    <col width="18" customWidth="1" min="14" max="14"/>
  </cols>
  <sheetData>
    <row r="1" ht="40" customHeight="1">
      <c r="A1" s="25" t="inlineStr">
        <is>
          <t>ANM Community App — Weekly Cost Breakdown &amp; Cash Flow</t>
        </is>
      </c>
    </row>
    <row r="2" ht="14" customHeight="1">
      <c r="A2" s="57" t="inlineStr">
        <is>
          <t>Costs = days (Resource Plan) × rate (Assumptions)  ·  Selling price = cost × (1 + 50% margin)  ·  Amounts in USD</t>
        </is>
      </c>
    </row>
    <row r="3" ht="30" customHeight="1">
      <c r="A3" s="58" t="inlineStr">
        <is>
          <t>Week</t>
        </is>
      </c>
      <c r="B3" s="58" t="inlineStr">
        <is>
          <t>Phase</t>
        </is>
      </c>
      <c r="C3" s="58" t="inlineStr">
        <is>
          <t>PM</t>
        </is>
      </c>
      <c r="D3" s="58" t="inlineStr">
        <is>
          <t>Architect</t>
        </is>
      </c>
      <c r="E3" s="58" t="inlineStr">
        <is>
          <t>Designer</t>
        </is>
      </c>
      <c r="F3" s="58" t="inlineStr">
        <is>
          <t>Mobile Dev</t>
        </is>
      </c>
      <c r="G3" s="58" t="inlineStr">
        <is>
          <t>Backend Dev</t>
        </is>
      </c>
      <c r="H3" s="58" t="inlineStr">
        <is>
          <t>DevOps</t>
        </is>
      </c>
      <c r="I3" s="58" t="inlineStr">
        <is>
          <t>QA</t>
        </is>
      </c>
      <c r="J3" s="58" t="inlineStr">
        <is>
          <t>Security</t>
        </is>
      </c>
      <c r="K3" s="58" t="inlineStr">
        <is>
          <t>Total Cost
/Wk (USD)</t>
        </is>
      </c>
      <c r="L3" s="58" t="inlineStr">
        <is>
          <t>Cumul. Cost
(USD)</t>
        </is>
      </c>
      <c r="M3" s="58" t="inlineStr">
        <is>
          <t>Sell Price
/Wk (USD)</t>
        </is>
      </c>
      <c r="N3" s="58" t="inlineStr">
        <is>
          <t>Cumul. Sell
Price (USD)</t>
        </is>
      </c>
    </row>
    <row r="4" ht="20" customHeight="1">
      <c r="A4" s="88" t="inlineStr">
        <is>
          <t>Wk 1</t>
        </is>
      </c>
      <c r="B4" s="89" t="inlineStr">
        <is>
          <t>Phase 1: Discovery &amp; Design</t>
        </is>
      </c>
      <c r="C4" s="90">
        <f>'Resource Plan'!B4*Assumptions!B13</f>
        <v/>
      </c>
      <c r="D4" s="90">
        <f>'Resource Plan'!B5*Assumptions!B14</f>
        <v/>
      </c>
      <c r="E4" s="90">
        <f>'Resource Plan'!B6*Assumptions!B15</f>
        <v/>
      </c>
      <c r="F4" s="90">
        <f>'Resource Plan'!B7*Assumptions!B16</f>
        <v/>
      </c>
      <c r="G4" s="90">
        <f>'Resource Plan'!B8*Assumptions!B17</f>
        <v/>
      </c>
      <c r="H4" s="90">
        <f>'Resource Plan'!B9*Assumptions!B18</f>
        <v/>
      </c>
      <c r="I4" s="90">
        <f>'Resource Plan'!B10*Assumptions!B19</f>
        <v/>
      </c>
      <c r="J4" s="90">
        <f>'Resource Plan'!B11*Assumptions!B20</f>
        <v/>
      </c>
      <c r="K4" s="91">
        <f>SUM(C4:J4)</f>
        <v/>
      </c>
      <c r="L4" s="92">
        <f>K4</f>
        <v/>
      </c>
      <c r="M4" s="93">
        <f>K4*(1+Assumptions!B25)</f>
        <v/>
      </c>
      <c r="N4" s="94">
        <f>M4</f>
        <v/>
      </c>
    </row>
    <row r="5" ht="20" customHeight="1">
      <c r="A5" s="88" t="inlineStr">
        <is>
          <t>Wk 2</t>
        </is>
      </c>
      <c r="B5" s="89" t="inlineStr">
        <is>
          <t>Phase 1: Discovery &amp; Design</t>
        </is>
      </c>
      <c r="C5" s="90">
        <f>'Resource Plan'!C4*Assumptions!B13</f>
        <v/>
      </c>
      <c r="D5" s="90">
        <f>'Resource Plan'!C5*Assumptions!B14</f>
        <v/>
      </c>
      <c r="E5" s="90">
        <f>'Resource Plan'!C6*Assumptions!B15</f>
        <v/>
      </c>
      <c r="F5" s="90">
        <f>'Resource Plan'!C7*Assumptions!B16</f>
        <v/>
      </c>
      <c r="G5" s="90">
        <f>'Resource Plan'!C8*Assumptions!B17</f>
        <v/>
      </c>
      <c r="H5" s="90">
        <f>'Resource Plan'!C9*Assumptions!B18</f>
        <v/>
      </c>
      <c r="I5" s="90">
        <f>'Resource Plan'!C10*Assumptions!B19</f>
        <v/>
      </c>
      <c r="J5" s="90">
        <f>'Resource Plan'!C11*Assumptions!B20</f>
        <v/>
      </c>
      <c r="K5" s="91">
        <f>SUM(C5:J5)</f>
        <v/>
      </c>
      <c r="L5" s="92">
        <f>L4+K5</f>
        <v/>
      </c>
      <c r="M5" s="93">
        <f>K5*(1+Assumptions!B25)</f>
        <v/>
      </c>
      <c r="N5" s="94">
        <f>N4+M5</f>
        <v/>
      </c>
    </row>
    <row r="6" ht="20" customHeight="1">
      <c r="A6" s="95" t="inlineStr">
        <is>
          <t>Wk 3</t>
        </is>
      </c>
      <c r="B6" s="96" t="inlineStr">
        <is>
          <t>Phase 2: Core Development</t>
        </is>
      </c>
      <c r="C6" s="97">
        <f>'Resource Plan'!D4*Assumptions!B13</f>
        <v/>
      </c>
      <c r="D6" s="97">
        <f>'Resource Plan'!D5*Assumptions!B14</f>
        <v/>
      </c>
      <c r="E6" s="97">
        <f>'Resource Plan'!D6*Assumptions!B15</f>
        <v/>
      </c>
      <c r="F6" s="97">
        <f>'Resource Plan'!D7*Assumptions!B16</f>
        <v/>
      </c>
      <c r="G6" s="97">
        <f>'Resource Plan'!D8*Assumptions!B17</f>
        <v/>
      </c>
      <c r="H6" s="97">
        <f>'Resource Plan'!D9*Assumptions!B18</f>
        <v/>
      </c>
      <c r="I6" s="97">
        <f>'Resource Plan'!D10*Assumptions!B19</f>
        <v/>
      </c>
      <c r="J6" s="97">
        <f>'Resource Plan'!D11*Assumptions!B20</f>
        <v/>
      </c>
      <c r="K6" s="91">
        <f>SUM(C6:J6)</f>
        <v/>
      </c>
      <c r="L6" s="92">
        <f>L5+K6</f>
        <v/>
      </c>
      <c r="M6" s="93">
        <f>K6*(1+Assumptions!B25)</f>
        <v/>
      </c>
      <c r="N6" s="94">
        <f>N5+M6</f>
        <v/>
      </c>
    </row>
    <row r="7" ht="20" customHeight="1">
      <c r="A7" s="95" t="inlineStr">
        <is>
          <t>Wk 4</t>
        </is>
      </c>
      <c r="B7" s="96" t="inlineStr">
        <is>
          <t>Phase 2: Core Development</t>
        </is>
      </c>
      <c r="C7" s="97">
        <f>'Resource Plan'!E4*Assumptions!B13</f>
        <v/>
      </c>
      <c r="D7" s="97">
        <f>'Resource Plan'!E5*Assumptions!B14</f>
        <v/>
      </c>
      <c r="E7" s="97">
        <f>'Resource Plan'!E6*Assumptions!B15</f>
        <v/>
      </c>
      <c r="F7" s="97">
        <f>'Resource Plan'!E7*Assumptions!B16</f>
        <v/>
      </c>
      <c r="G7" s="97">
        <f>'Resource Plan'!E8*Assumptions!B17</f>
        <v/>
      </c>
      <c r="H7" s="97">
        <f>'Resource Plan'!E9*Assumptions!B18</f>
        <v/>
      </c>
      <c r="I7" s="97">
        <f>'Resource Plan'!E10*Assumptions!B19</f>
        <v/>
      </c>
      <c r="J7" s="97">
        <f>'Resource Plan'!E11*Assumptions!B20</f>
        <v/>
      </c>
      <c r="K7" s="91">
        <f>SUM(C7:J7)</f>
        <v/>
      </c>
      <c r="L7" s="92">
        <f>L6+K7</f>
        <v/>
      </c>
      <c r="M7" s="93">
        <f>K7*(1+Assumptions!B25)</f>
        <v/>
      </c>
      <c r="N7" s="94">
        <f>N6+M7</f>
        <v/>
      </c>
    </row>
    <row r="8" ht="20" customHeight="1">
      <c r="A8" s="95" t="inlineStr">
        <is>
          <t>Wk 5</t>
        </is>
      </c>
      <c r="B8" s="96" t="inlineStr">
        <is>
          <t>Phase 2: Core Development</t>
        </is>
      </c>
      <c r="C8" s="97">
        <f>'Resource Plan'!F4*Assumptions!B13</f>
        <v/>
      </c>
      <c r="D8" s="97">
        <f>'Resource Plan'!F5*Assumptions!B14</f>
        <v/>
      </c>
      <c r="E8" s="97">
        <f>'Resource Plan'!F6*Assumptions!B15</f>
        <v/>
      </c>
      <c r="F8" s="97">
        <f>'Resource Plan'!F7*Assumptions!B16</f>
        <v/>
      </c>
      <c r="G8" s="97">
        <f>'Resource Plan'!F8*Assumptions!B17</f>
        <v/>
      </c>
      <c r="H8" s="97">
        <f>'Resource Plan'!F9*Assumptions!B18</f>
        <v/>
      </c>
      <c r="I8" s="97">
        <f>'Resource Plan'!F10*Assumptions!B19</f>
        <v/>
      </c>
      <c r="J8" s="97">
        <f>'Resource Plan'!F11*Assumptions!B20</f>
        <v/>
      </c>
      <c r="K8" s="91">
        <f>SUM(C8:J8)</f>
        <v/>
      </c>
      <c r="L8" s="92">
        <f>L7+K8</f>
        <v/>
      </c>
      <c r="M8" s="93">
        <f>K8*(1+Assumptions!B25)</f>
        <v/>
      </c>
      <c r="N8" s="94">
        <f>N7+M8</f>
        <v/>
      </c>
    </row>
    <row r="9" ht="20" customHeight="1">
      <c r="A9" s="95" t="inlineStr">
        <is>
          <t>Wk 6</t>
        </is>
      </c>
      <c r="B9" s="96" t="inlineStr">
        <is>
          <t>Phase 2: Core Development</t>
        </is>
      </c>
      <c r="C9" s="97">
        <f>'Resource Plan'!G4*Assumptions!B13</f>
        <v/>
      </c>
      <c r="D9" s="97">
        <f>'Resource Plan'!G5*Assumptions!B14</f>
        <v/>
      </c>
      <c r="E9" s="97">
        <f>'Resource Plan'!G6*Assumptions!B15</f>
        <v/>
      </c>
      <c r="F9" s="97">
        <f>'Resource Plan'!G7*Assumptions!B16</f>
        <v/>
      </c>
      <c r="G9" s="97">
        <f>'Resource Plan'!G8*Assumptions!B17</f>
        <v/>
      </c>
      <c r="H9" s="97">
        <f>'Resource Plan'!G9*Assumptions!B18</f>
        <v/>
      </c>
      <c r="I9" s="97">
        <f>'Resource Plan'!G10*Assumptions!B19</f>
        <v/>
      </c>
      <c r="J9" s="97">
        <f>'Resource Plan'!G11*Assumptions!B20</f>
        <v/>
      </c>
      <c r="K9" s="91">
        <f>SUM(C9:J9)</f>
        <v/>
      </c>
      <c r="L9" s="92">
        <f>L8+K9</f>
        <v/>
      </c>
      <c r="M9" s="93">
        <f>K9*(1+Assumptions!B25)</f>
        <v/>
      </c>
      <c r="N9" s="94">
        <f>N8+M9</f>
        <v/>
      </c>
    </row>
    <row r="10" ht="20" customHeight="1">
      <c r="A10" s="98" t="inlineStr">
        <is>
          <t>Wk 7</t>
        </is>
      </c>
      <c r="B10" s="99" t="inlineStr">
        <is>
          <t>Phase 3: QA &amp; Testing</t>
        </is>
      </c>
      <c r="C10" s="100">
        <f>'Resource Plan'!H4*Assumptions!B13</f>
        <v/>
      </c>
      <c r="D10" s="100">
        <f>'Resource Plan'!H5*Assumptions!B14</f>
        <v/>
      </c>
      <c r="E10" s="100">
        <f>'Resource Plan'!H6*Assumptions!B15</f>
        <v/>
      </c>
      <c r="F10" s="100">
        <f>'Resource Plan'!H7*Assumptions!B16</f>
        <v/>
      </c>
      <c r="G10" s="100">
        <f>'Resource Plan'!H8*Assumptions!B17</f>
        <v/>
      </c>
      <c r="H10" s="100">
        <f>'Resource Plan'!H9*Assumptions!B18</f>
        <v/>
      </c>
      <c r="I10" s="100">
        <f>'Resource Plan'!H10*Assumptions!B19</f>
        <v/>
      </c>
      <c r="J10" s="100">
        <f>'Resource Plan'!H11*Assumptions!B20</f>
        <v/>
      </c>
      <c r="K10" s="91">
        <f>SUM(C10:J10)</f>
        <v/>
      </c>
      <c r="L10" s="92">
        <f>L9+K10</f>
        <v/>
      </c>
      <c r="M10" s="93">
        <f>K10*(1+Assumptions!B25)</f>
        <v/>
      </c>
      <c r="N10" s="94">
        <f>N9+M10</f>
        <v/>
      </c>
    </row>
    <row r="11" ht="20" customHeight="1">
      <c r="A11" s="98" t="inlineStr">
        <is>
          <t>Wk 8</t>
        </is>
      </c>
      <c r="B11" s="99" t="inlineStr">
        <is>
          <t>Phase 3: QA &amp; Testing</t>
        </is>
      </c>
      <c r="C11" s="100">
        <f>'Resource Plan'!I4*Assumptions!B13</f>
        <v/>
      </c>
      <c r="D11" s="100">
        <f>'Resource Plan'!I5*Assumptions!B14</f>
        <v/>
      </c>
      <c r="E11" s="100">
        <f>'Resource Plan'!I6*Assumptions!B15</f>
        <v/>
      </c>
      <c r="F11" s="100">
        <f>'Resource Plan'!I7*Assumptions!B16</f>
        <v/>
      </c>
      <c r="G11" s="100">
        <f>'Resource Plan'!I8*Assumptions!B17</f>
        <v/>
      </c>
      <c r="H11" s="100">
        <f>'Resource Plan'!I9*Assumptions!B18</f>
        <v/>
      </c>
      <c r="I11" s="100">
        <f>'Resource Plan'!I10*Assumptions!B19</f>
        <v/>
      </c>
      <c r="J11" s="100">
        <f>'Resource Plan'!I11*Assumptions!B20</f>
        <v/>
      </c>
      <c r="K11" s="91">
        <f>SUM(C11:J11)</f>
        <v/>
      </c>
      <c r="L11" s="92">
        <f>L10+K11</f>
        <v/>
      </c>
      <c r="M11" s="93">
        <f>K11*(1+Assumptions!B25)</f>
        <v/>
      </c>
      <c r="N11" s="94">
        <f>N10+M11</f>
        <v/>
      </c>
    </row>
    <row r="12" ht="20" customHeight="1">
      <c r="A12" s="101" t="inlineStr">
        <is>
          <t>Wk 9</t>
        </is>
      </c>
      <c r="B12" s="102" t="inlineStr">
        <is>
          <t>Phase 4: Deployment</t>
        </is>
      </c>
      <c r="C12" s="103">
        <f>'Resource Plan'!J4*Assumptions!B13</f>
        <v/>
      </c>
      <c r="D12" s="103">
        <f>'Resource Plan'!J5*Assumptions!B14</f>
        <v/>
      </c>
      <c r="E12" s="103">
        <f>'Resource Plan'!J6*Assumptions!B15</f>
        <v/>
      </c>
      <c r="F12" s="103">
        <f>'Resource Plan'!J7*Assumptions!B16</f>
        <v/>
      </c>
      <c r="G12" s="103">
        <f>'Resource Plan'!J8*Assumptions!B17</f>
        <v/>
      </c>
      <c r="H12" s="103">
        <f>'Resource Plan'!J9*Assumptions!B18</f>
        <v/>
      </c>
      <c r="I12" s="103">
        <f>'Resource Plan'!J10*Assumptions!B19</f>
        <v/>
      </c>
      <c r="J12" s="103">
        <f>'Resource Plan'!J11*Assumptions!B20</f>
        <v/>
      </c>
      <c r="K12" s="91">
        <f>SUM(C12:J12)</f>
        <v/>
      </c>
      <c r="L12" s="92">
        <f>L11+K12</f>
        <v/>
      </c>
      <c r="M12" s="93">
        <f>K12*(1+Assumptions!B25)</f>
        <v/>
      </c>
      <c r="N12" s="94">
        <f>N11+M12</f>
        <v/>
      </c>
    </row>
    <row r="13" ht="20" customHeight="1">
      <c r="A13" s="104" t="inlineStr">
        <is>
          <t>Wk 10</t>
        </is>
      </c>
      <c r="B13" s="105" t="inlineStr">
        <is>
          <t>Phase 5: Hypercare</t>
        </is>
      </c>
      <c r="C13" s="106">
        <f>'Resource Plan'!K4*Assumptions!B13</f>
        <v/>
      </c>
      <c r="D13" s="106">
        <f>'Resource Plan'!K5*Assumptions!B14</f>
        <v/>
      </c>
      <c r="E13" s="106">
        <f>'Resource Plan'!K6*Assumptions!B15</f>
        <v/>
      </c>
      <c r="F13" s="106">
        <f>'Resource Plan'!K7*Assumptions!B16</f>
        <v/>
      </c>
      <c r="G13" s="106">
        <f>'Resource Plan'!K8*Assumptions!B17</f>
        <v/>
      </c>
      <c r="H13" s="106">
        <f>'Resource Plan'!K9*Assumptions!B18</f>
        <v/>
      </c>
      <c r="I13" s="106">
        <f>'Resource Plan'!K10*Assumptions!B19</f>
        <v/>
      </c>
      <c r="J13" s="106">
        <f>'Resource Plan'!K11*Assumptions!B20</f>
        <v/>
      </c>
      <c r="K13" s="91">
        <f>SUM(C13:J13)</f>
        <v/>
      </c>
      <c r="L13" s="92">
        <f>L12+K13</f>
        <v/>
      </c>
      <c r="M13" s="93">
        <f>K13*(1+Assumptions!B25)</f>
        <v/>
      </c>
      <c r="N13" s="94">
        <f>N12+M13</f>
        <v/>
      </c>
    </row>
    <row r="14" ht="20" customHeight="1">
      <c r="A14" s="104" t="inlineStr">
        <is>
          <t>HC-Wk1</t>
        </is>
      </c>
      <c r="B14" s="105" t="inlineStr">
        <is>
          <t>Phase 5: Hypercare</t>
        </is>
      </c>
      <c r="C14" s="106">
        <f>'Resource Plan'!L4*Assumptions!B13</f>
        <v/>
      </c>
      <c r="D14" s="106">
        <f>'Resource Plan'!L5*Assumptions!B14</f>
        <v/>
      </c>
      <c r="E14" s="106">
        <f>'Resource Plan'!L6*Assumptions!B15</f>
        <v/>
      </c>
      <c r="F14" s="106">
        <f>'Resource Plan'!L7*Assumptions!B16</f>
        <v/>
      </c>
      <c r="G14" s="106">
        <f>'Resource Plan'!L8*Assumptions!B17</f>
        <v/>
      </c>
      <c r="H14" s="106">
        <f>'Resource Plan'!L9*Assumptions!B18</f>
        <v/>
      </c>
      <c r="I14" s="106">
        <f>'Resource Plan'!L10*Assumptions!B19</f>
        <v/>
      </c>
      <c r="J14" s="106">
        <f>'Resource Plan'!L11*Assumptions!B20</f>
        <v/>
      </c>
      <c r="K14" s="91">
        <f>SUM(C14:J14)</f>
        <v/>
      </c>
      <c r="L14" s="92">
        <f>L13+K14</f>
        <v/>
      </c>
      <c r="M14" s="93">
        <f>K14*(1+Assumptions!B25)</f>
        <v/>
      </c>
      <c r="N14" s="94">
        <f>N13+M14</f>
        <v/>
      </c>
    </row>
    <row r="15" ht="20" customHeight="1">
      <c r="A15" s="104" t="inlineStr">
        <is>
          <t>HC-Wk2</t>
        </is>
      </c>
      <c r="B15" s="105" t="inlineStr">
        <is>
          <t>Phase 5: Hypercare</t>
        </is>
      </c>
      <c r="C15" s="106">
        <f>'Resource Plan'!M4*Assumptions!B13</f>
        <v/>
      </c>
      <c r="D15" s="106">
        <f>'Resource Plan'!M5*Assumptions!B14</f>
        <v/>
      </c>
      <c r="E15" s="106">
        <f>'Resource Plan'!M6*Assumptions!B15</f>
        <v/>
      </c>
      <c r="F15" s="106">
        <f>'Resource Plan'!M7*Assumptions!B16</f>
        <v/>
      </c>
      <c r="G15" s="106">
        <f>'Resource Plan'!M8*Assumptions!B17</f>
        <v/>
      </c>
      <c r="H15" s="106">
        <f>'Resource Plan'!M9*Assumptions!B18</f>
        <v/>
      </c>
      <c r="I15" s="106">
        <f>'Resource Plan'!M10*Assumptions!B19</f>
        <v/>
      </c>
      <c r="J15" s="106">
        <f>'Resource Plan'!M11*Assumptions!B20</f>
        <v/>
      </c>
      <c r="K15" s="91">
        <f>SUM(C15:J15)</f>
        <v/>
      </c>
      <c r="L15" s="92">
        <f>L14+K15</f>
        <v/>
      </c>
      <c r="M15" s="93">
        <f>K15*(1+Assumptions!B25)</f>
        <v/>
      </c>
      <c r="N15" s="94">
        <f>N14+M15</f>
        <v/>
      </c>
    </row>
    <row r="16" ht="24" customHeight="1">
      <c r="A16" s="107" t="inlineStr">
        <is>
          <t>TOTAL</t>
        </is>
      </c>
      <c r="B16" s="70" t="n"/>
      <c r="C16" s="108">
        <f>SUM(C4:C15)</f>
        <v/>
      </c>
      <c r="D16" s="108">
        <f>SUM(D4:D15)</f>
        <v/>
      </c>
      <c r="E16" s="108">
        <f>SUM(E4:E15)</f>
        <v/>
      </c>
      <c r="F16" s="108">
        <f>SUM(F4:F15)</f>
        <v/>
      </c>
      <c r="G16" s="108">
        <f>SUM(G4:G15)</f>
        <v/>
      </c>
      <c r="H16" s="108">
        <f>SUM(H4:H15)</f>
        <v/>
      </c>
      <c r="I16" s="108">
        <f>SUM(I4:I15)</f>
        <v/>
      </c>
      <c r="J16" s="108">
        <f>SUM(J4:J15)</f>
        <v/>
      </c>
      <c r="K16" s="108">
        <f>SUM(K4:K15)</f>
        <v/>
      </c>
      <c r="L16" s="109">
        <f>L15</f>
        <v/>
      </c>
      <c r="M16" s="108">
        <f>SUM(M4:M15)</f>
        <v/>
      </c>
      <c r="N16" s="109">
        <f>N15</f>
        <v/>
      </c>
    </row>
    <row r="18" ht="8" customHeight="1"/>
    <row r="19" ht="22" customHeight="1">
      <c r="A19" s="4" t="inlineStr">
        <is>
          <t xml:space="preserve">  COST SUMMARY BY PHASE</t>
        </is>
      </c>
    </row>
    <row r="20" ht="18" customHeight="1">
      <c r="A20" s="41" t="inlineStr">
        <is>
          <t>Phase</t>
        </is>
      </c>
      <c r="B20" s="41" t="inlineStr">
        <is>
          <t>Weeks</t>
        </is>
      </c>
      <c r="C20" s="41" t="inlineStr">
        <is>
          <t>Team-Days</t>
        </is>
      </c>
      <c r="D20" s="41" t="inlineStr">
        <is>
          <t>Cost (USD)</t>
        </is>
      </c>
      <c r="E20" s="41" t="inlineStr">
        <is>
          <t>Selling Price (USD)</t>
        </is>
      </c>
      <c r="F20" s="41" t="inlineStr">
        <is>
          <t>% of Total</t>
        </is>
      </c>
    </row>
    <row r="21" ht="18" customHeight="1">
      <c r="A21" s="42" t="inlineStr">
        <is>
          <t>Phase 1: Discovery &amp; Design</t>
        </is>
      </c>
      <c r="B21" s="43" t="inlineStr">
        <is>
          <t>Wks 1–2</t>
        </is>
      </c>
      <c r="C21" s="60">
        <f>SUM('Resource Plan'!B12:C12)</f>
        <v/>
      </c>
      <c r="D21" s="82">
        <f>SUM(K4:K5)</f>
        <v/>
      </c>
      <c r="E21" s="83">
        <f>SUM(M4:M5)</f>
        <v/>
      </c>
      <c r="F21" s="45">
        <f>IFERROR(E21/E26,"-")</f>
        <v/>
      </c>
    </row>
    <row r="22" ht="18" customHeight="1">
      <c r="A22" s="47" t="inlineStr">
        <is>
          <t>Phase 2: Core Development</t>
        </is>
      </c>
      <c r="B22" s="48" t="inlineStr">
        <is>
          <t>Wks 3–6</t>
        </is>
      </c>
      <c r="C22" s="66">
        <f>SUM('Resource Plan'!D12:G12)</f>
        <v/>
      </c>
      <c r="D22" s="84">
        <f>SUM(K6:K9)</f>
        <v/>
      </c>
      <c r="E22" s="85">
        <f>SUM(M6:M9)</f>
        <v/>
      </c>
      <c r="F22" s="50">
        <f>IFERROR(E22/E26,"-")</f>
        <v/>
      </c>
    </row>
    <row r="23" ht="18" customHeight="1">
      <c r="A23" s="42" t="inlineStr">
        <is>
          <t>Phase 3: QA &amp; Testing</t>
        </is>
      </c>
      <c r="B23" s="43" t="inlineStr">
        <is>
          <t>Wks 7–8</t>
        </is>
      </c>
      <c r="C23" s="60">
        <f>SUM('Resource Plan'!H12:I12)</f>
        <v/>
      </c>
      <c r="D23" s="82">
        <f>SUM(K10:K11)</f>
        <v/>
      </c>
      <c r="E23" s="83">
        <f>SUM(M10:M11)</f>
        <v/>
      </c>
      <c r="F23" s="45">
        <f>IFERROR(E23/E26,"-")</f>
        <v/>
      </c>
    </row>
    <row r="24" ht="18" customHeight="1">
      <c r="A24" s="47" t="inlineStr">
        <is>
          <t>Phase 4: Deployment</t>
        </is>
      </c>
      <c r="B24" s="48" t="inlineStr">
        <is>
          <t>Wk 9</t>
        </is>
      </c>
      <c r="C24" s="66">
        <f>'Resource Plan'!J12</f>
        <v/>
      </c>
      <c r="D24" s="84">
        <f>SUM(K12)</f>
        <v/>
      </c>
      <c r="E24" s="85">
        <f>SUM(M12)</f>
        <v/>
      </c>
      <c r="F24" s="50">
        <f>IFERROR(E24/E26,"-")</f>
        <v/>
      </c>
    </row>
    <row r="25" ht="18" customHeight="1">
      <c r="A25" s="42" t="inlineStr">
        <is>
          <t>Phase 5: Hypercare (Wk10+HC)</t>
        </is>
      </c>
      <c r="B25" s="43" t="inlineStr">
        <is>
          <t>Wks 10–12</t>
        </is>
      </c>
      <c r="C25" s="60">
        <f>SUM('Resource Plan'!K12:M12)</f>
        <v/>
      </c>
      <c r="D25" s="82">
        <f>SUM(K13:K15)</f>
        <v/>
      </c>
      <c r="E25" s="83">
        <f>SUM(M13:M15)</f>
        <v/>
      </c>
      <c r="F25" s="45">
        <f>IFERROR(E25/E26,"-")</f>
        <v/>
      </c>
    </row>
    <row r="26" ht="18" customHeight="1">
      <c r="A26" s="52" t="inlineStr">
        <is>
          <t>TOTAL</t>
        </is>
      </c>
      <c r="B26" s="53" t="inlineStr">
        <is>
          <t>12 wks</t>
        </is>
      </c>
      <c r="C26" s="54">
        <f>SUM('Resource Plan'!B12:M12)</f>
        <v/>
      </c>
      <c r="D26" s="86">
        <f>SUM(K4:K15)</f>
        <v/>
      </c>
      <c r="E26" s="87">
        <f>SUM(M4:M15)</f>
        <v/>
      </c>
      <c r="F26" s="55">
        <f>IFERROR(E26/E26,"-")</f>
        <v/>
      </c>
    </row>
  </sheetData>
  <mergeCells count="3">
    <mergeCell ref="A19:N19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2026-06-14T03:46:14Z</dcterms:created>
  <dcterms:modified xsi:type="dcterms:W3CDTF">2026-06-14T03:46:14Z</dcterms:modified>
</cp:coreProperties>
</file>