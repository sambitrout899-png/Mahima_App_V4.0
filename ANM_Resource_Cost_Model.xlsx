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source Plan" sheetId="2" state="visible" r:id="rId2"/>
    <sheet name="Cost Model" sheetId="3" state="visible" r:id="rId3"/>
    <sheet name="Weekly Cost" sheetId="4" state="visible" r:id="rId4"/>
    <sheet name="AMC Options" sheetId="5" state="visible" r:id="rId5"/>
    <sheet name="Platform Costs" sheetId="6" state="visible" r:id="rId6"/>
    <sheet name="Scale Scen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₹#,##0;(₹#,##0);-"/>
    <numFmt numFmtId="165" formatCode="0.0%"/>
    <numFmt numFmtId="166" formatCode="#,##0;[Red]-#,##0;-"/>
    <numFmt numFmtId="167" formatCode="0.0x"/>
    <numFmt numFmtId="168" formatCode="0.0%;(0.0%);-"/>
    <numFmt numFmtId="169" formatCode="0.0"/>
  </numFmts>
  <fonts count="48">
    <font>
      <name val="Calibri"/>
      <family val="2"/>
      <color theme="1"/>
      <sz val="11"/>
      <scheme val="minor"/>
    </font>
    <font>
      <name val="Arial"/>
      <b val="1"/>
      <color rgb="001B2F6E"/>
      <sz val="18"/>
    </font>
    <font>
      <name val="Arial"/>
      <b val="1"/>
      <color rgb="0064748B"/>
      <sz val="9"/>
    </font>
    <font>
      <name val="Arial"/>
      <color rgb="001A1A2E"/>
      <sz val="10"/>
    </font>
    <font>
      <name val="Arial"/>
      <b val="1"/>
      <color rgb="00FFFFFF"/>
      <sz val="10"/>
    </font>
    <font>
      <name val="Arial"/>
      <b val="1"/>
      <color rgb="001B2F6E"/>
      <sz val="9"/>
    </font>
    <font>
      <name val="Arial"/>
      <b val="1"/>
      <color rgb="001B2F6E"/>
      <sz val="10"/>
    </font>
    <font>
      <name val="Arial"/>
      <color rgb="000000FF"/>
      <sz val="10"/>
    </font>
    <font>
      <name val="Arial"/>
      <color rgb="0064748B"/>
      <sz val="9"/>
    </font>
    <font>
      <name val="Arial"/>
      <b val="1"/>
      <color rgb="000000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8000"/>
      <sz val="10"/>
    </font>
    <font>
      <name val="Arial"/>
      <color rgb="00008000"/>
      <sz val="10"/>
    </font>
    <font>
      <name val="Arial"/>
      <b val="1"/>
      <color rgb="00FFFFFF"/>
      <sz val="15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64748B"/>
      <sz val="10"/>
    </font>
    <font>
      <name val="Arial"/>
      <b val="1"/>
      <color rgb="00065F46"/>
      <sz val="9"/>
    </font>
    <font>
      <name val="Arial"/>
      <color rgb="001B2F6E"/>
      <sz val="9"/>
    </font>
    <font>
      <name val="Arial"/>
      <color rgb="001B2F6E"/>
      <sz val="8"/>
    </font>
    <font>
      <name val="Arial"/>
      <color rgb="00FFFFFF"/>
      <sz val="9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B2F6E"/>
      <sz val="11"/>
    </font>
    <font>
      <name val="Arial"/>
      <b val="1"/>
      <color rgb="000000FF"/>
      <sz val="11"/>
    </font>
    <font>
      <name val="Arial"/>
      <b val="1"/>
      <color rgb="00065F46"/>
      <sz val="11"/>
    </font>
    <font>
      <name val="Arial"/>
      <b val="1"/>
      <color rgb="001B2F6E"/>
      <sz val="13"/>
    </font>
    <font>
      <name val="Arial"/>
      <color rgb="00065F46"/>
      <sz val="9"/>
    </font>
    <font>
      <name val="Arial"/>
      <b val="1"/>
      <color rgb="00F0A500"/>
      <sz val="9"/>
    </font>
    <font>
      <name val="Arial"/>
      <b val="1"/>
      <color rgb="00065F46"/>
      <sz val="10"/>
    </font>
    <font>
      <name val="Arial"/>
      <color rgb="00065F46"/>
      <sz val="10"/>
    </font>
    <font>
      <name val="Arial"/>
      <b val="1"/>
      <color rgb="00FFFFFF"/>
      <sz val="11"/>
    </font>
    <font>
      <name val="Arial"/>
      <b val="1"/>
      <color rgb="001B2F6E"/>
      <sz val="12"/>
    </font>
    <font>
      <name val="Arial"/>
      <b val="1"/>
      <color rgb="00FFFFFF"/>
      <sz val="17"/>
    </font>
    <font>
      <name val="Arial"/>
      <b val="1"/>
      <color rgb="0064748B"/>
      <sz val="14"/>
    </font>
    <font>
      <name val="Arial"/>
      <b val="1"/>
      <color rgb="001B2F6E"/>
      <sz val="14"/>
    </font>
    <font>
      <name val="Arial"/>
      <b val="1"/>
      <color rgb="0092400E"/>
      <sz val="14"/>
    </font>
    <font>
      <name val="Arial"/>
      <color rgb="00000000"/>
      <sz val="9"/>
    </font>
    <font>
      <name val="Arial"/>
      <b val="1"/>
      <color rgb="001D4ED8"/>
      <sz val="9"/>
    </font>
    <font>
      <name val="Arial"/>
      <b val="1"/>
      <color rgb="00F0A500"/>
      <sz val="12"/>
    </font>
    <font>
      <name val="Arial"/>
      <color rgb="FFFFFFBB"/>
      <sz val="8"/>
    </font>
    <font>
      <name val="Arial"/>
      <color rgb="0092400E"/>
      <sz val="9"/>
    </font>
    <font>
      <name val="Arial"/>
      <b val="1"/>
      <color rgb="00991B1B"/>
      <sz val="9"/>
    </font>
    <font>
      <name val="Arial"/>
      <b val="1"/>
      <color rgb="0093C5FD"/>
      <sz val="10"/>
    </font>
    <font>
      <name val="Arial"/>
      <b val="1"/>
      <color rgb="00F0A500"/>
      <sz val="10"/>
    </font>
    <font>
      <name val="Arial"/>
      <color rgb="00AAAAAA"/>
      <sz val="8"/>
    </font>
    <font>
      <name val="Arial"/>
      <b val="1"/>
      <color rgb="00D97706"/>
      <sz val="9"/>
    </font>
  </fonts>
  <fills count="26">
    <fill>
      <patternFill/>
    </fill>
    <fill>
      <patternFill patternType="gray125"/>
    </fill>
    <fill>
      <patternFill patternType="solid">
        <fgColor rgb="00EEF2F7"/>
      </patternFill>
    </fill>
    <fill>
      <patternFill patternType="solid">
        <fgColor rgb="001B2F6E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1D4ED8"/>
      </patternFill>
    </fill>
    <fill>
      <patternFill patternType="solid">
        <fgColor rgb="00065F46"/>
      </patternFill>
    </fill>
    <fill>
      <patternFill patternType="solid">
        <fgColor rgb="0092400E"/>
      </patternFill>
    </fill>
    <fill>
      <patternFill patternType="solid">
        <fgColor rgb="006B21A8"/>
      </patternFill>
    </fill>
    <fill>
      <patternFill patternType="solid">
        <fgColor rgb="00991B1B"/>
      </patternFill>
    </fill>
    <fill>
      <patternFill patternType="solid">
        <fgColor rgb="00D1FAE5"/>
      </patternFill>
    </fill>
    <fill>
      <patternFill patternType="solid">
        <fgColor rgb="00FEF9C3"/>
      </patternFill>
    </fill>
    <fill>
      <patternFill patternType="solid">
        <fgColor rgb="00F0FDF4"/>
      </patternFill>
    </fill>
    <fill>
      <patternFill patternType="solid">
        <fgColor rgb="00F0A500"/>
      </patternFill>
    </fill>
    <fill>
      <patternFill patternType="solid">
        <fgColor rgb="00FEF3C7"/>
      </patternFill>
    </fill>
    <fill>
      <patternFill patternType="solid">
        <fgColor rgb="00EFF6FF"/>
      </patternFill>
    </fill>
    <fill>
      <patternFill patternType="solid">
        <fgColor rgb="00FFFBEB"/>
      </patternFill>
    </fill>
    <fill>
      <patternFill patternType="solid">
        <fgColor rgb="00F5F3FF"/>
      </patternFill>
    </fill>
    <fill>
      <patternFill patternType="solid">
        <fgColor rgb="00FFF1F2"/>
      </patternFill>
    </fill>
    <fill>
      <patternFill patternType="solid">
        <fgColor rgb="00F8FAFC"/>
      </patternFill>
    </fill>
    <fill>
      <patternFill patternType="solid">
        <fgColor rgb="00059669"/>
      </patternFill>
    </fill>
    <fill>
      <patternFill patternType="solid">
        <fgColor rgb="00D97706"/>
      </patternFill>
    </fill>
    <fill>
      <patternFill patternType="solid">
        <fgColor rgb="007C3AED"/>
      </patternFill>
    </fill>
    <fill>
      <patternFill patternType="solid">
        <fgColor rgb="000F172A"/>
      </patternFill>
    </fill>
    <fill>
      <patternFill patternType="solid">
        <fgColor rgb="00DCFCE7"/>
      </patternFill>
    </fill>
  </fills>
  <borders count="7">
    <border>
      <left/>
      <right/>
      <top/>
      <bottom/>
      <diagonal/>
    </border>
    <border>
      <bottom style="medium">
        <color rgb="001B2F6E"/>
      </bottom>
    </border>
    <border>
      <bottom style="thin">
        <color rgb="00DDDDDD"/>
      </bottom>
    </border>
    <border>
      <left style="thin">
        <color rgb="00E0E0E0"/>
      </left>
      <right style="thin">
        <color rgb="00E0E0E0"/>
      </right>
      <bottom style="thin">
        <color rgb="00DDDDDD"/>
      </bottom>
    </border>
    <border>
      <top style="thin">
        <color rgb="00CCCCCC"/>
      </top>
      <bottom style="medium">
        <color rgb="00AAAAAA"/>
      </bottom>
    </border>
    <border>
      <left style="medium">
        <color rgb="001B2F6E"/>
      </left>
      <bottom style="thin">
        <color rgb="00DDDDDD"/>
      </bottom>
    </border>
    <border>
      <bottom style="medium">
        <color rgb="00F0A500"/>
      </bottom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164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165" fontId="7" fillId="4" borderId="2" applyAlignment="1" pivotButton="0" quotePrefix="0" xfId="0">
      <alignment horizontal="center" vertical="center"/>
    </xf>
    <xf numFmtId="3" fontId="7" fillId="5" borderId="2" applyAlignment="1" pivotButton="0" quotePrefix="0" xfId="0">
      <alignment horizontal="center" vertical="center"/>
    </xf>
    <xf numFmtId="3" fontId="7" fillId="4" borderId="2" applyAlignment="1" pivotButton="0" quotePrefix="0" xfId="0">
      <alignment horizontal="center" vertical="center"/>
    </xf>
    <xf numFmtId="0" fontId="9" fillId="4" borderId="0" pivotButton="0" quotePrefix="0" xfId="0"/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10" fillId="5" borderId="0" pivotButton="0" quotePrefix="0" xfId="0"/>
    <xf numFmtId="0" fontId="11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12" fillId="4" borderId="0" pivotButton="0" quotePrefix="0" xfId="0"/>
    <xf numFmtId="0" fontId="13" fillId="4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 indent="1"/>
    </xf>
    <xf numFmtId="0" fontId="15" fillId="3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6" fillId="9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166" fontId="7" fillId="4" borderId="3" applyAlignment="1" pivotButton="0" quotePrefix="0" xfId="0">
      <alignment horizontal="center" vertical="center"/>
    </xf>
    <xf numFmtId="3" fontId="10" fillId="2" borderId="2" applyAlignment="1" pivotButton="0" quotePrefix="0" xfId="0">
      <alignment horizontal="center" vertical="center"/>
    </xf>
    <xf numFmtId="167" fontId="11" fillId="2" borderId="2" applyAlignment="1" pivotButton="0" quotePrefix="0" xfId="0">
      <alignment horizontal="center" vertical="center"/>
    </xf>
    <xf numFmtId="166" fontId="7" fillId="5" borderId="3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3" fontId="8" fillId="0" borderId="0" applyAlignment="1" pivotButton="0" quotePrefix="0" xfId="0">
      <alignment horizontal="center" vertical="center"/>
    </xf>
    <xf numFmtId="3" fontId="17" fillId="0" borderId="0" applyAlignment="1" pivotButton="0" quotePrefix="0" xfId="0">
      <alignment horizontal="center" vertical="center"/>
    </xf>
    <xf numFmtId="9" fontId="8" fillId="0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center" vertical="center"/>
    </xf>
    <xf numFmtId="0" fontId="19" fillId="4" borderId="2" applyAlignment="1" pivotButton="0" quotePrefix="0" xfId="0">
      <alignment horizontal="left" vertical="center"/>
    </xf>
    <xf numFmtId="0" fontId="19" fillId="4" borderId="2" applyAlignment="1" pivotButton="0" quotePrefix="0" xfId="0">
      <alignment horizontal="center" vertical="center"/>
    </xf>
    <xf numFmtId="3" fontId="19" fillId="4" borderId="2" applyAlignment="1" pivotButton="0" quotePrefix="0" xfId="0">
      <alignment horizontal="center" vertical="center"/>
    </xf>
    <xf numFmtId="168" fontId="19" fillId="4" borderId="2" applyAlignment="1" pivotButton="0" quotePrefix="0" xfId="0">
      <alignment horizontal="center" vertical="center"/>
    </xf>
    <xf numFmtId="169" fontId="19" fillId="4" borderId="2" applyAlignment="1" pivotButton="0" quotePrefix="0" xfId="0">
      <alignment horizontal="center" vertical="center"/>
    </xf>
    <xf numFmtId="0" fontId="20" fillId="4" borderId="2" applyAlignment="1" pivotButton="0" quotePrefix="0" xfId="0">
      <alignment horizontal="left" vertical="center"/>
    </xf>
    <xf numFmtId="0" fontId="19" fillId="5" borderId="2" applyAlignment="1" pivotButton="0" quotePrefix="0" xfId="0">
      <alignment horizontal="left" vertical="center"/>
    </xf>
    <xf numFmtId="0" fontId="19" fillId="5" borderId="2" applyAlignment="1" pivotButton="0" quotePrefix="0" xfId="0">
      <alignment horizontal="center" vertical="center"/>
    </xf>
    <xf numFmtId="3" fontId="19" fillId="5" borderId="2" applyAlignment="1" pivotButton="0" quotePrefix="0" xfId="0">
      <alignment horizontal="center" vertical="center"/>
    </xf>
    <xf numFmtId="168" fontId="19" fillId="5" borderId="2" applyAlignment="1" pivotButton="0" quotePrefix="0" xfId="0">
      <alignment horizontal="center" vertical="center"/>
    </xf>
    <xf numFmtId="169" fontId="19" fillId="5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left" vertical="center"/>
    </xf>
    <xf numFmtId="0" fontId="15" fillId="3" borderId="2" applyAlignment="1" pivotButton="0" quotePrefix="0" xfId="0">
      <alignment horizontal="left" vertical="center"/>
    </xf>
    <xf numFmtId="0" fontId="15" fillId="3" borderId="2" applyAlignment="1" pivotButton="0" quotePrefix="0" xfId="0">
      <alignment horizontal="center" vertical="center"/>
    </xf>
    <xf numFmtId="3" fontId="15" fillId="3" borderId="2" applyAlignment="1" pivotButton="0" quotePrefix="0" xfId="0">
      <alignment horizontal="center" vertical="center"/>
    </xf>
    <xf numFmtId="168" fontId="21" fillId="3" borderId="2" applyAlignment="1" pivotButton="0" quotePrefix="0" xfId="0">
      <alignment horizontal="center" vertical="center"/>
    </xf>
    <xf numFmtId="169" fontId="21" fillId="3" borderId="2" applyAlignment="1" pivotButton="0" quotePrefix="0" xfId="0">
      <alignment horizontal="center" vertical="center"/>
    </xf>
    <xf numFmtId="0" fontId="22" fillId="3" borderId="2" applyAlignment="1" pivotButton="0" quotePrefix="0" xfId="0">
      <alignment horizontal="left" vertical="center"/>
    </xf>
    <xf numFmtId="0" fontId="23" fillId="2" borderId="0" applyAlignment="1" pivotButton="0" quotePrefix="0" xfId="0">
      <alignment horizontal="left" vertical="center" indent="1"/>
    </xf>
    <xf numFmtId="0" fontId="15" fillId="3" borderId="0" applyAlignment="1" pivotButton="0" quotePrefix="0" xfId="0">
      <alignment horizontal="center" vertical="center" wrapText="1"/>
    </xf>
    <xf numFmtId="164" fontId="13" fillId="4" borderId="2" applyAlignment="1" pivotButton="0" quotePrefix="0" xfId="0">
      <alignment horizontal="center" vertical="center"/>
    </xf>
    <xf numFmtId="3" fontId="13" fillId="4" borderId="2" applyAlignment="1" pivotButton="0" quotePrefix="0" xfId="0">
      <alignment horizontal="center" vertical="center"/>
    </xf>
    <xf numFmtId="3" fontId="11" fillId="4" borderId="2" applyAlignment="1" pivotButton="0" quotePrefix="0" xfId="0">
      <alignment horizontal="center" vertical="center"/>
    </xf>
    <xf numFmtId="164" fontId="11" fillId="4" borderId="2" applyAlignment="1" pivotButton="0" quotePrefix="0" xfId="0">
      <alignment horizontal="right" vertical="center"/>
    </xf>
    <xf numFmtId="168" fontId="11" fillId="4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164" fontId="13" fillId="5" borderId="2" applyAlignment="1" pivotButton="0" quotePrefix="0" xfId="0">
      <alignment horizontal="center" vertical="center"/>
    </xf>
    <xf numFmtId="3" fontId="13" fillId="5" borderId="2" applyAlignment="1" pivotButton="0" quotePrefix="0" xfId="0">
      <alignment horizontal="center" vertical="center"/>
    </xf>
    <xf numFmtId="3" fontId="11" fillId="5" borderId="2" applyAlignment="1" pivotButton="0" quotePrefix="0" xfId="0">
      <alignment horizontal="center" vertical="center"/>
    </xf>
    <xf numFmtId="164" fontId="11" fillId="5" borderId="2" applyAlignment="1" pivotButton="0" quotePrefix="0" xfId="0">
      <alignment horizontal="right" vertical="center"/>
    </xf>
    <xf numFmtId="168" fontId="11" fillId="5" borderId="2" applyAlignment="1" pivotButton="0" quotePrefix="0" xfId="0">
      <alignment horizontal="center" vertical="center"/>
    </xf>
    <xf numFmtId="0" fontId="0" fillId="3" borderId="0" pivotButton="0" quotePrefix="0" xfId="0"/>
    <xf numFmtId="164" fontId="4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left" vertical="center" indent="2"/>
    </xf>
    <xf numFmtId="164" fontId="24" fillId="2" borderId="4" applyAlignment="1" pivotButton="0" quotePrefix="0" xfId="0">
      <alignment horizontal="right" vertical="center"/>
    </xf>
    <xf numFmtId="0" fontId="25" fillId="12" borderId="0" applyAlignment="1" pivotButton="0" quotePrefix="0" xfId="0">
      <alignment horizontal="left" vertical="center" indent="2"/>
    </xf>
    <xf numFmtId="165" fontId="25" fillId="12" borderId="4" applyAlignment="1" pivotButton="0" quotePrefix="0" xfId="0">
      <alignment horizontal="right" vertical="center"/>
    </xf>
    <xf numFmtId="0" fontId="26" fillId="13" borderId="0" applyAlignment="1" pivotButton="0" quotePrefix="0" xfId="0">
      <alignment horizontal="left" vertical="center" indent="2"/>
    </xf>
    <xf numFmtId="164" fontId="26" fillId="13" borderId="4" applyAlignment="1" pivotButton="0" quotePrefix="0" xfId="0">
      <alignment horizontal="right" vertical="center"/>
    </xf>
    <xf numFmtId="0" fontId="27" fillId="14" borderId="0" applyAlignment="1" pivotButton="0" quotePrefix="0" xfId="0">
      <alignment horizontal="left" vertical="center" indent="2"/>
    </xf>
    <xf numFmtId="164" fontId="27" fillId="14" borderId="4" applyAlignment="1" pivotButton="0" quotePrefix="0" xfId="0">
      <alignment horizontal="right" vertical="center"/>
    </xf>
    <xf numFmtId="0" fontId="5" fillId="15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center" vertical="center" wrapText="1"/>
    </xf>
    <xf numFmtId="164" fontId="19" fillId="4" borderId="2" applyAlignment="1" pivotButton="0" quotePrefix="0" xfId="0">
      <alignment horizontal="right" vertical="center"/>
    </xf>
    <xf numFmtId="164" fontId="28" fillId="4" borderId="2" applyAlignment="1" pivotButton="0" quotePrefix="0" xfId="0">
      <alignment horizontal="right" vertical="center"/>
    </xf>
    <xf numFmtId="164" fontId="19" fillId="5" borderId="2" applyAlignment="1" pivotButton="0" quotePrefix="0" xfId="0">
      <alignment horizontal="right" vertical="center"/>
    </xf>
    <xf numFmtId="164" fontId="28" fillId="5" borderId="2" applyAlignment="1" pivotButton="0" quotePrefix="0" xfId="0">
      <alignment horizontal="right" vertical="center"/>
    </xf>
    <xf numFmtId="164" fontId="15" fillId="3" borderId="2" applyAlignment="1" pivotButton="0" quotePrefix="0" xfId="0">
      <alignment horizontal="right" vertical="center"/>
    </xf>
    <xf numFmtId="164" fontId="29" fillId="14" borderId="2" applyAlignment="1" pivotButton="0" quotePrefix="0" xfId="0">
      <alignment horizontal="right" vertical="center"/>
    </xf>
    <xf numFmtId="0" fontId="6" fillId="16" borderId="0" applyAlignment="1" pivotButton="0" quotePrefix="0" xfId="0">
      <alignment horizontal="center" vertical="center"/>
    </xf>
    <xf numFmtId="0" fontId="8" fillId="16" borderId="0" applyAlignment="1" pivotButton="0" quotePrefix="0" xfId="0">
      <alignment horizontal="left" vertical="center"/>
    </xf>
    <xf numFmtId="164" fontId="11" fillId="16" borderId="2" applyAlignment="1" pivotButton="0" quotePrefix="0" xfId="0">
      <alignment horizontal="right" vertical="center"/>
    </xf>
    <xf numFmtId="164" fontId="10" fillId="2" borderId="5" applyAlignment="1" pivotButton="0" quotePrefix="0" xfId="0">
      <alignment horizontal="right" vertical="center"/>
    </xf>
    <xf numFmtId="164" fontId="11" fillId="2" borderId="2" applyAlignment="1" pivotButton="0" quotePrefix="0" xfId="0">
      <alignment horizontal="right" vertical="center"/>
    </xf>
    <xf numFmtId="164" fontId="30" fillId="13" borderId="5" applyAlignment="1" pivotButton="0" quotePrefix="0" xfId="0">
      <alignment horizontal="right" vertical="center"/>
    </xf>
    <xf numFmtId="164" fontId="31" fillId="13" borderId="2" applyAlignment="1" pivotButton="0" quotePrefix="0" xfId="0">
      <alignment horizontal="right" vertical="center"/>
    </xf>
    <xf numFmtId="0" fontId="6" fillId="13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left" vertical="center"/>
    </xf>
    <xf numFmtId="164" fontId="11" fillId="13" borderId="2" applyAlignment="1" pivotButton="0" quotePrefix="0" xfId="0">
      <alignment horizontal="right" vertical="center"/>
    </xf>
    <xf numFmtId="0" fontId="6" fillId="17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left" vertical="center"/>
    </xf>
    <xf numFmtId="164" fontId="11" fillId="17" borderId="2" applyAlignment="1" pivotButton="0" quotePrefix="0" xfId="0">
      <alignment horizontal="right" vertical="center"/>
    </xf>
    <xf numFmtId="0" fontId="6" fillId="18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left" vertical="center"/>
    </xf>
    <xf numFmtId="164" fontId="11" fillId="18" borderId="2" applyAlignment="1" pivotButton="0" quotePrefix="0" xfId="0">
      <alignment horizontal="right" vertical="center"/>
    </xf>
    <xf numFmtId="0" fontId="6" fillId="19" borderId="0" applyAlignment="1" pivotButton="0" quotePrefix="0" xfId="0">
      <alignment horizontal="center" vertical="center"/>
    </xf>
    <xf numFmtId="0" fontId="8" fillId="19" borderId="0" applyAlignment="1" pivotButton="0" quotePrefix="0" xfId="0">
      <alignment horizontal="left" vertical="center"/>
    </xf>
    <xf numFmtId="164" fontId="11" fillId="19" borderId="2" applyAlignment="1" pivotButton="0" quotePrefix="0" xfId="0">
      <alignment horizontal="right" vertical="center"/>
    </xf>
    <xf numFmtId="0" fontId="32" fillId="3" borderId="0" applyAlignment="1" pivotButton="0" quotePrefix="0" xfId="0">
      <alignment horizontal="center" vertical="center"/>
    </xf>
    <xf numFmtId="164" fontId="32" fillId="3" borderId="0" applyAlignment="1" pivotButton="0" quotePrefix="0" xfId="0">
      <alignment horizontal="right" vertical="center"/>
    </xf>
    <xf numFmtId="164" fontId="33" fillId="14" borderId="0" applyAlignment="1" pivotButton="0" quotePrefix="0" xfId="0">
      <alignment horizontal="right" vertical="center"/>
    </xf>
    <xf numFmtId="0" fontId="34" fillId="3" borderId="0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left" vertical="center" indent="1"/>
    </xf>
    <xf numFmtId="0" fontId="4" fillId="3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24" fillId="2" borderId="0" applyAlignment="1" pivotButton="0" quotePrefix="0" xfId="0">
      <alignment horizontal="left" vertical="center"/>
    </xf>
    <xf numFmtId="164" fontId="35" fillId="20" borderId="6" applyAlignment="1" pivotButton="0" quotePrefix="0" xfId="0">
      <alignment horizontal="center" vertical="center"/>
    </xf>
    <xf numFmtId="164" fontId="36" fillId="16" borderId="6" applyAlignment="1" pivotButton="0" quotePrefix="0" xfId="0">
      <alignment horizontal="center" vertical="center"/>
    </xf>
    <xf numFmtId="164" fontId="37" fillId="15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164" fontId="8" fillId="0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indent="1"/>
    </xf>
    <xf numFmtId="0" fontId="38" fillId="4" borderId="2" applyAlignment="1" pivotButton="0" quotePrefix="0" xfId="0">
      <alignment horizontal="center" vertical="center"/>
    </xf>
    <xf numFmtId="0" fontId="39" fillId="16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center" vertical="center"/>
    </xf>
    <xf numFmtId="0" fontId="23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indent="1"/>
    </xf>
    <xf numFmtId="0" fontId="38" fillId="5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center" vertical="center"/>
    </xf>
    <xf numFmtId="0" fontId="23" fillId="5" borderId="2" applyAlignment="1" pivotButton="0" quotePrefix="0" xfId="0">
      <alignment horizontal="left" vertical="center"/>
    </xf>
    <xf numFmtId="0" fontId="8" fillId="16" borderId="2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indent="1"/>
    </xf>
    <xf numFmtId="0" fontId="19" fillId="4" borderId="2" applyAlignment="1" pivotButton="0" quotePrefix="0" xfId="0">
      <alignment horizontal="left" vertical="center" indent="1"/>
    </xf>
    <xf numFmtId="0" fontId="19" fillId="5" borderId="2" applyAlignment="1" pivotButton="0" quotePrefix="0" xfId="0">
      <alignment horizontal="left" vertical="center" indent="1"/>
    </xf>
    <xf numFmtId="0" fontId="4" fillId="21" borderId="0" applyAlignment="1" pivotButton="0" quotePrefix="0" xfId="0">
      <alignment horizontal="left" vertical="center" indent="1"/>
    </xf>
    <xf numFmtId="0" fontId="4" fillId="22" borderId="0" applyAlignment="1" pivotButton="0" quotePrefix="0" xfId="0">
      <alignment horizontal="left" vertical="center" indent="1"/>
    </xf>
    <xf numFmtId="0" fontId="4" fillId="23" borderId="0" applyAlignment="1" pivotButton="0" quotePrefix="0" xfId="0">
      <alignment horizontal="left" vertical="center" indent="1"/>
    </xf>
    <xf numFmtId="0" fontId="32" fillId="3" borderId="0" applyAlignment="1" pivotButton="0" quotePrefix="0" xfId="0">
      <alignment horizontal="left" vertical="center" indent="1"/>
    </xf>
    <xf numFmtId="164" fontId="40" fillId="3" borderId="0" applyAlignment="1" pivotButton="0" quotePrefix="0" xfId="0">
      <alignment horizontal="right" vertical="center"/>
    </xf>
    <xf numFmtId="0" fontId="41" fillId="3" borderId="0" applyAlignment="1" pivotButton="0" quotePrefix="0" xfId="0">
      <alignment horizontal="left" vertical="center"/>
    </xf>
    <xf numFmtId="0" fontId="15" fillId="3" borderId="6" applyAlignment="1" pivotButton="0" quotePrefix="0" xfId="0">
      <alignment horizontal="left" vertical="center" wrapText="1"/>
    </xf>
    <xf numFmtId="0" fontId="15" fillId="6" borderId="6" applyAlignment="1" pivotButton="0" quotePrefix="0" xfId="0">
      <alignment horizontal="center" vertical="center" wrapText="1"/>
    </xf>
    <xf numFmtId="0" fontId="15" fillId="10" borderId="6" applyAlignment="1" pivotButton="0" quotePrefix="0" xfId="0">
      <alignment horizontal="center" vertical="center" wrapText="1"/>
    </xf>
    <xf numFmtId="164" fontId="19" fillId="5" borderId="2" applyAlignment="1" pivotButton="0" quotePrefix="0" xfId="0">
      <alignment horizontal="center" vertical="center"/>
    </xf>
    <xf numFmtId="0" fontId="23" fillId="5" borderId="2" applyAlignment="1" pivotButton="0" quotePrefix="0" xfId="0">
      <alignment horizontal="left" vertical="center" wrapText="1"/>
    </xf>
    <xf numFmtId="164" fontId="19" fillId="4" borderId="2" applyAlignment="1" pivotButton="0" quotePrefix="0" xfId="0">
      <alignment horizontal="center" vertical="center"/>
    </xf>
    <xf numFmtId="0" fontId="23" fillId="4" borderId="2" applyAlignment="1" pivotButton="0" quotePrefix="0" xfId="0">
      <alignment horizontal="left" vertical="center" wrapText="1"/>
    </xf>
    <xf numFmtId="0" fontId="42" fillId="15" borderId="2" applyAlignment="1" pivotButton="0" quotePrefix="0" xfId="0">
      <alignment horizontal="left" vertical="center" indent="1"/>
    </xf>
    <xf numFmtId="0" fontId="42" fillId="15" borderId="2" applyAlignment="1" pivotButton="0" quotePrefix="0" xfId="0">
      <alignment horizontal="center" vertical="center"/>
    </xf>
    <xf numFmtId="164" fontId="43" fillId="15" borderId="2" applyAlignment="1" pivotButton="0" quotePrefix="0" xfId="0">
      <alignment horizontal="center" vertical="center"/>
    </xf>
    <xf numFmtId="0" fontId="23" fillId="15" borderId="2" applyAlignment="1" pivotButton="0" quotePrefix="0" xfId="0">
      <alignment horizontal="left" vertical="center" wrapText="1"/>
    </xf>
    <xf numFmtId="0" fontId="4" fillId="24" borderId="2" applyAlignment="1" pivotButton="0" quotePrefix="0" xfId="0">
      <alignment horizontal="left" vertical="center" indent="1"/>
    </xf>
    <xf numFmtId="164" fontId="44" fillId="24" borderId="2" applyAlignment="1" pivotButton="0" quotePrefix="0" xfId="0">
      <alignment horizontal="center" vertical="center"/>
    </xf>
    <xf numFmtId="164" fontId="45" fillId="24" borderId="2" applyAlignment="1" pivotButton="0" quotePrefix="0" xfId="0">
      <alignment horizontal="center" vertical="center"/>
    </xf>
    <xf numFmtId="0" fontId="46" fillId="24" borderId="2" applyAlignment="1" pivotButton="0" quotePrefix="0" xfId="0">
      <alignment horizontal="left" vertical="center" wrapText="1"/>
    </xf>
    <xf numFmtId="164" fontId="47" fillId="15" borderId="2" applyAlignment="1" pivotButton="0" quotePrefix="0" xfId="0">
      <alignment horizontal="center" vertical="center"/>
    </xf>
    <xf numFmtId="0" fontId="28" fillId="5" borderId="2" applyAlignment="1" pivotButton="0" quotePrefix="0" xfId="0">
      <alignment horizontal="center" vertical="center"/>
    </xf>
    <xf numFmtId="0" fontId="28" fillId="4" borderId="2" applyAlignment="1" pivotButton="0" quotePrefix="0" xfId="0">
      <alignment horizontal="center" vertical="center"/>
    </xf>
    <xf numFmtId="0" fontId="4" fillId="24" borderId="0" applyAlignment="1" pivotButton="0" quotePrefix="0" xfId="0">
      <alignment horizontal="left" vertical="center" indent="1"/>
    </xf>
    <xf numFmtId="0" fontId="18" fillId="25" borderId="0" applyAlignment="1" pivotButton="0" quotePrefix="0" xfId="0">
      <alignment horizontal="left" vertical="center" wrapText="1" indent="1"/>
    </xf>
    <xf numFmtId="0" fontId="19" fillId="1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48" customWidth="1" min="4" max="4"/>
  </cols>
  <sheetData>
    <row r="1" ht="44" customHeight="1">
      <c r="A1" s="1" t="inlineStr">
        <is>
          <t>ANM Community App — Resource &amp; Pricing Assumptions (.NET 8 + Ionic/Capacitor + PostgreSQL)</t>
        </is>
      </c>
    </row>
    <row r="3" ht="17" customHeight="1">
      <c r="A3" s="2" t="inlineStr">
        <is>
          <t>Project</t>
        </is>
      </c>
      <c r="B3" s="3" t="inlineStr">
        <is>
          <t>ANM Community App</t>
        </is>
      </c>
    </row>
    <row r="4" ht="17" customHeight="1">
      <c r="A4" s="2" t="inlineStr">
        <is>
          <t>Client</t>
        </is>
      </c>
      <c r="B4" s="3" t="inlineStr">
        <is>
          <t>ANM — Church &amp; Community Platform</t>
        </is>
      </c>
    </row>
    <row r="5" ht="17" customHeight="1">
      <c r="A5" s="2" t="inlineStr">
        <is>
          <t>Framework</t>
        </is>
      </c>
      <c r="B5" s="3" t="inlineStr">
        <is>
          <t>Proprietary .NET 8 + Ionic/Capacitor + PostgreSQL 16</t>
        </is>
      </c>
    </row>
    <row r="6" ht="17" customHeight="1">
      <c r="A6" s="2" t="inlineStr">
        <is>
          <t>Prepared by</t>
        </is>
      </c>
      <c r="B6" s="3" t="inlineStr">
        <is>
          <t>Solution Development Team</t>
        </is>
      </c>
    </row>
    <row r="7" ht="17" customHeight="1">
      <c r="A7" s="2" t="inlineStr">
        <is>
          <t>Date</t>
        </is>
      </c>
      <c r="B7" s="3" t="inlineStr">
        <is>
          <t>June 2025</t>
        </is>
      </c>
    </row>
    <row r="8" ht="17" customHeight="1">
      <c r="A8" s="2" t="inlineStr">
        <is>
          <t>Currency</t>
        </is>
      </c>
      <c r="B8" s="3" t="inlineStr">
        <is>
          <t>INR (Indian Rupees — ₹)</t>
        </is>
      </c>
    </row>
    <row r="9" ht="17" customHeight="1">
      <c r="A9" s="2" t="inlineStr">
        <is>
          <t>Version</t>
        </is>
      </c>
      <c r="B9" s="3" t="inlineStr">
        <is>
          <t>v2.0 — 10-Week Model</t>
        </is>
      </c>
    </row>
    <row r="10" ht="8" customHeight="1"/>
    <row r="11" ht="22" customHeight="1">
      <c r="A11" s="4" t="inlineStr">
        <is>
          <t xml:space="preserve">  RATE CARD — Daily Rates (INR) — Indian Consulting Market Rates</t>
        </is>
      </c>
    </row>
    <row r="12" ht="18" customHeight="1">
      <c r="A12" s="5" t="inlineStr">
        <is>
          <t>Role</t>
        </is>
      </c>
      <c r="B12" s="5" t="inlineStr">
        <is>
          <t>Daily Rate (₹)</t>
        </is>
      </c>
      <c r="C12" s="5" t="inlineStr">
        <is>
          <t>Role ID</t>
        </is>
      </c>
      <c r="D12" s="5" t="inlineStr">
        <is>
          <t>Notes / Scope</t>
        </is>
      </c>
    </row>
    <row r="13" ht="18" customHeight="1">
      <c r="A13" s="6" t="inlineStr">
        <is>
          <t>Project Manager</t>
        </is>
      </c>
      <c r="B13" s="7" t="n">
        <v>8500</v>
      </c>
      <c r="C13" s="8" t="inlineStr">
        <is>
          <t>PM</t>
        </is>
      </c>
      <c r="D13" s="9" t="inlineStr">
        <is>
          <t>Sr PM; reporting, risk, ANM stakeholder comms</t>
        </is>
      </c>
    </row>
    <row r="14" ht="18" customHeight="1">
      <c r="A14" s="10" t="inlineStr">
        <is>
          <t>Solution Architect</t>
        </is>
      </c>
      <c r="B14" s="11" t="n">
        <v>12000</v>
      </c>
      <c r="C14" s="12" t="inlineStr">
        <is>
          <t>ARC</t>
        </is>
      </c>
      <c r="D14" s="13" t="inlineStr">
        <is>
          <t>Architecture reviews &amp; formal sign-off gates</t>
        </is>
      </c>
    </row>
    <row r="15" ht="18" customHeight="1">
      <c r="A15" s="6" t="inlineStr">
        <is>
          <t>UI/UX Designer</t>
        </is>
      </c>
      <c r="B15" s="7" t="n">
        <v>6500</v>
      </c>
      <c r="C15" s="8" t="inlineStr">
        <is>
          <t>DES</t>
        </is>
      </c>
      <c r="D15" s="9" t="inlineStr">
        <is>
          <t>Figma, design system, UAT design support</t>
        </is>
      </c>
    </row>
    <row r="16" ht="18" customHeight="1">
      <c r="A16" s="10" t="inlineStr">
        <is>
          <t>Mobile Developer (Sr.)</t>
        </is>
      </c>
      <c r="B16" s="11" t="n">
        <v>9000</v>
      </c>
      <c r="C16" s="12" t="inlineStr">
        <is>
          <t>MOB</t>
        </is>
      </c>
      <c r="D16" s="13" t="inlineStr">
        <is>
          <t>React + Ionic/Capacitor — iOS, Android &amp; Web via Capacitor bridges</t>
        </is>
      </c>
    </row>
    <row r="17" ht="18" customHeight="1">
      <c r="A17" s="6" t="inlineStr">
        <is>
          <t>Backend Developer (Sr.)</t>
        </is>
      </c>
      <c r="B17" s="7" t="n">
        <v>9000</v>
      </c>
      <c r="C17" s="8" t="inlineStr">
        <is>
          <t>BAK</t>
        </is>
      </c>
      <c r="D17" s="9" t="inlineStr">
        <is>
          <t>ASP.NET Core .NET 8 (C#), PostgreSQL via EF Core 8, REST APIs</t>
        </is>
      </c>
    </row>
    <row r="18" ht="18" customHeight="1">
      <c r="A18" s="10" t="inlineStr">
        <is>
          <t>DevOps Engineer</t>
        </is>
      </c>
      <c r="B18" s="11" t="n">
        <v>7500</v>
      </c>
      <c r="C18" s="12" t="inlineStr">
        <is>
          <t>DEV</t>
        </is>
      </c>
      <c r="D18" s="13" t="inlineStr">
        <is>
          <t>AWS ECS Fargate, RDS PostgreSQL, CI/CD, CloudFront, monitoring</t>
        </is>
      </c>
    </row>
    <row r="19" ht="18" customHeight="1">
      <c r="A19" s="6" t="inlineStr">
        <is>
          <t>QA Engineer</t>
        </is>
      </c>
      <c r="B19" s="7" t="n">
        <v>5500</v>
      </c>
      <c r="C19" s="8" t="inlineStr">
        <is>
          <t>QA</t>
        </is>
      </c>
      <c r="D19" s="9" t="inlineStr">
        <is>
          <t>xUnit, Testcontainers, Playwright, Appium, OWASP testing</t>
        </is>
      </c>
    </row>
    <row r="20" ht="18" customHeight="1">
      <c r="A20" s="10" t="inlineStr">
        <is>
          <t>Security Consultant</t>
        </is>
      </c>
      <c r="B20" s="11" t="n">
        <v>11000</v>
      </c>
      <c r="C20" s="12" t="inlineStr">
        <is>
          <t>SEC</t>
        </is>
      </c>
      <c r="D20" s="13" t="inlineStr">
        <is>
          <t>OWASP pentest, audit &amp; sign-off report</t>
        </is>
      </c>
    </row>
    <row r="21" ht="8" customHeight="1"/>
    <row r="22" ht="8" customHeight="1"/>
    <row r="23" ht="22" customHeight="1">
      <c r="A23" s="4" t="inlineStr">
        <is>
          <t xml:space="preserve">  PRICING ASSUMPTIONS</t>
        </is>
      </c>
    </row>
    <row r="24" ht="18" customHeight="1">
      <c r="A24" s="5" t="inlineStr">
        <is>
          <t>Parameter</t>
        </is>
      </c>
      <c r="B24" s="5" t="inlineStr">
        <is>
          <t>Value</t>
        </is>
      </c>
      <c r="D24" s="5" t="inlineStr">
        <is>
          <t>Notes</t>
        </is>
      </c>
    </row>
    <row r="25" ht="18" customHeight="1">
      <c r="A25" s="6" t="inlineStr">
        <is>
          <t>Gross Margin % (on cost)</t>
        </is>
      </c>
      <c r="B25" s="14" t="n">
        <v>0.5</v>
      </c>
      <c r="D25" s="9" t="inlineStr">
        <is>
          <t>50% margin added on top of total cost → client price</t>
        </is>
      </c>
    </row>
    <row r="26" ht="18" customHeight="1">
      <c r="A26" s="10" t="inlineStr">
        <is>
          <t>Working Days / Week</t>
        </is>
      </c>
      <c r="B26" s="15" t="n">
        <v>5</v>
      </c>
      <c r="D26" s="13" t="inlineStr">
        <is>
          <t>Mon–Fri; excludes public holidays</t>
        </is>
      </c>
    </row>
    <row r="27" ht="18" customHeight="1">
      <c r="A27" s="6" t="inlineStr">
        <is>
          <t>Hypercare Duration (weeks)</t>
        </is>
      </c>
      <c r="B27" s="16" t="n">
        <v>2</v>
      </c>
      <c r="D27" s="9" t="inlineStr">
        <is>
          <t>Post go-live monitoring &amp; support period</t>
        </is>
      </c>
    </row>
    <row r="28" ht="18" customHeight="1">
      <c r="A28" s="10" t="inlineStr">
        <is>
          <t>Sprint Length (weeks)</t>
        </is>
      </c>
      <c r="B28" s="15" t="n">
        <v>2</v>
      </c>
      <c r="D28" s="13" t="inlineStr">
        <is>
          <t>Agile: 2-week sprint cadence (5 sprints total)</t>
        </is>
      </c>
    </row>
    <row r="29" ht="18" customHeight="1">
      <c r="A29" s="6" t="inlineStr">
        <is>
          <t>Project Duration — Core (wks)</t>
        </is>
      </c>
      <c r="B29" s="16" t="n">
        <v>10</v>
      </c>
      <c r="D29" s="9" t="inlineStr">
        <is>
          <t>Wk 1 through Wk 10 (Discovery → Go-Live)</t>
        </is>
      </c>
    </row>
    <row r="30" ht="18" customHeight="1">
      <c r="A30" s="10" t="inlineStr">
        <is>
          <t>Total Duration incl. HC (wks)</t>
        </is>
      </c>
      <c r="B30" s="15" t="n">
        <v>12</v>
      </c>
      <c r="D30" s="13" t="inlineStr">
        <is>
          <t>Core 10 weeks + 2 hypercare weeks</t>
        </is>
      </c>
    </row>
    <row r="32" ht="8" customHeight="1"/>
    <row r="33" ht="22" customHeight="1">
      <c r="A33" s="4" t="inlineStr">
        <is>
          <t xml:space="preserve">  COLOR CODING LEGEND</t>
        </is>
      </c>
    </row>
    <row r="34" ht="17" customHeight="1">
      <c r="A34" s="17" t="inlineStr">
        <is>
          <t>Blue text</t>
        </is>
      </c>
      <c r="B34" s="18" t="inlineStr">
        <is>
          <t>(sample)</t>
        </is>
      </c>
      <c r="D34" s="19" t="inlineStr">
        <is>
          <t>Hardcoded input — users may change these for scenario analysis</t>
        </is>
      </c>
    </row>
    <row r="35" ht="17" customHeight="1">
      <c r="A35" s="20" t="inlineStr">
        <is>
          <t>Black text</t>
        </is>
      </c>
      <c r="B35" s="21" t="inlineStr">
        <is>
          <t>(sample)</t>
        </is>
      </c>
      <c r="D35" s="22" t="inlineStr">
        <is>
          <t>Excel formula / calculated value — do not edit manually</t>
        </is>
      </c>
    </row>
    <row r="36" ht="17" customHeight="1">
      <c r="A36" s="23" t="inlineStr">
        <is>
          <t>Green text</t>
        </is>
      </c>
      <c r="B36" s="24" t="inlineStr">
        <is>
          <t>(sample)</t>
        </is>
      </c>
      <c r="D36" s="19" t="inlineStr">
        <is>
          <t>Link pulling from another worksheet within this workbook</t>
        </is>
      </c>
    </row>
  </sheetData>
  <mergeCells count="4">
    <mergeCell ref="A1:D1"/>
    <mergeCell ref="A23:D23"/>
    <mergeCell ref="A33:D33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2" customWidth="1" min="14" max="14"/>
    <col width="11" customWidth="1" min="15" max="15"/>
    <col width="34" customWidth="1" min="16" max="16"/>
  </cols>
  <sheetData>
    <row r="1" ht="40" customHeight="1">
      <c r="A1" s="25" t="inlineStr">
        <is>
          <t>ANM Community App — Resource Loading Plan  (Team-Days per Week) | .NET 8 Framework — 10-Week Delivery | INR</t>
        </is>
      </c>
    </row>
    <row r="2" ht="20" customHeight="1">
      <c r="A2" s="26" t="inlineStr">
        <is>
          <t>PHASE</t>
        </is>
      </c>
      <c r="B2" s="27" t="inlineStr">
        <is>
          <t>Phase 1: Discovery &amp; Config</t>
        </is>
      </c>
      <c r="D2" s="28" t="inlineStr">
        <is>
          <t>Phase 2: Core Customisation</t>
        </is>
      </c>
      <c r="H2" s="29" t="inlineStr">
        <is>
          <t>Phase 3: Feature Completion</t>
        </is>
      </c>
      <c r="J2" s="30" t="inlineStr">
        <is>
          <t>Phase 4: QA, UAT &amp; Launch</t>
        </is>
      </c>
      <c r="L2" s="31" t="inlineStr">
        <is>
          <t>Hypercare (Free — 30 days)</t>
        </is>
      </c>
      <c r="N2" s="26" t="inlineStr">
        <is>
          <t>TOTAL</t>
        </is>
      </c>
      <c r="O2" s="26" t="inlineStr">
        <is>
          <t>FTE</t>
        </is>
      </c>
      <c r="P2" s="26" t="inlineStr">
        <is>
          <t>Phase Focus</t>
        </is>
      </c>
    </row>
    <row r="3" ht="18" customHeight="1">
      <c r="A3" s="4" t="inlineStr">
        <is>
          <t>Role</t>
        </is>
      </c>
      <c r="B3" s="32" t="inlineStr">
        <is>
          <t>Wk 1</t>
        </is>
      </c>
      <c r="C3" s="32" t="inlineStr">
        <is>
          <t>Wk 2</t>
        </is>
      </c>
      <c r="D3" s="32" t="inlineStr">
        <is>
          <t>Wk 3</t>
        </is>
      </c>
      <c r="E3" s="32" t="inlineStr">
        <is>
          <t>Wk 4</t>
        </is>
      </c>
      <c r="F3" s="32" t="inlineStr">
        <is>
          <t>Wk 5</t>
        </is>
      </c>
      <c r="G3" s="32" t="inlineStr">
        <is>
          <t>Wk 6</t>
        </is>
      </c>
      <c r="H3" s="32" t="inlineStr">
        <is>
          <t>Wk 7</t>
        </is>
      </c>
      <c r="I3" s="32" t="inlineStr">
        <is>
          <t>Wk 8</t>
        </is>
      </c>
      <c r="J3" s="32" t="inlineStr">
        <is>
          <t>Wk 9</t>
        </is>
      </c>
      <c r="K3" s="32" t="inlineStr">
        <is>
          <t>Wk 10</t>
        </is>
      </c>
      <c r="L3" s="32" t="inlineStr">
        <is>
          <t>HC-1</t>
        </is>
      </c>
      <c r="M3" s="32" t="inlineStr">
        <is>
          <t>HC-2</t>
        </is>
      </c>
      <c r="N3" s="26" t="inlineStr">
        <is>
          <t>Days</t>
        </is>
      </c>
      <c r="O3" s="26" t="inlineStr">
        <is>
          <t>÷50d</t>
        </is>
      </c>
      <c r="P3" s="26" t="inlineStr">
        <is>
          <t>Notes</t>
        </is>
      </c>
    </row>
    <row r="4" ht="20" customHeight="1">
      <c r="A4" s="6" t="inlineStr">
        <is>
          <t>Project Manager</t>
        </is>
      </c>
      <c r="B4" s="33" t="n">
        <v>5</v>
      </c>
      <c r="C4" s="33" t="n">
        <v>5</v>
      </c>
      <c r="D4" s="33" t="n">
        <v>3</v>
      </c>
      <c r="E4" s="33" t="n">
        <v>3</v>
      </c>
      <c r="F4" s="33" t="n">
        <v>3</v>
      </c>
      <c r="G4" s="33" t="n">
        <v>3</v>
      </c>
      <c r="H4" s="33" t="n">
        <v>3</v>
      </c>
      <c r="I4" s="33" t="n">
        <v>3</v>
      </c>
      <c r="J4" s="33" t="n">
        <v>5</v>
      </c>
      <c r="K4" s="33" t="n">
        <v>5</v>
      </c>
      <c r="L4" s="33" t="n">
        <v>2</v>
      </c>
      <c r="M4" s="33" t="n">
        <v>2</v>
      </c>
      <c r="N4" s="34">
        <f>SUM(B4:M4)</f>
        <v/>
      </c>
      <c r="O4" s="35">
        <f>N4/50</f>
        <v/>
      </c>
      <c r="P4" s="9" t="inlineStr">
        <is>
          <t>Discovery → Go-Live → Hypercare oversight</t>
        </is>
      </c>
    </row>
    <row r="5" ht="20" customHeight="1">
      <c r="A5" s="10" t="inlineStr">
        <is>
          <t>Solution Architect</t>
        </is>
      </c>
      <c r="B5" s="36" t="n">
        <v>5</v>
      </c>
      <c r="C5" s="36" t="n">
        <v>5</v>
      </c>
      <c r="D5" s="36" t="n">
        <v>1</v>
      </c>
      <c r="E5" s="36" t="n">
        <v>1</v>
      </c>
      <c r="F5" s="36" t="n"/>
      <c r="G5" s="36" t="n">
        <v>1</v>
      </c>
      <c r="H5" s="36" t="n">
        <v>1</v>
      </c>
      <c r="I5" s="36" t="n"/>
      <c r="J5" s="36" t="n">
        <v>1</v>
      </c>
      <c r="K5" s="36" t="n">
        <v>1</v>
      </c>
      <c r="L5" s="36" t="n"/>
      <c r="M5" s="36" t="n"/>
      <c r="N5" s="34">
        <f>SUM(B5:M5)</f>
        <v/>
      </c>
      <c r="O5" s="35">
        <f>N5/50</f>
        <v/>
      </c>
      <c r="P5" s="13" t="inlineStr">
        <is>
          <t>Discovery &amp; architecture; sign-off gates only</t>
        </is>
      </c>
    </row>
    <row r="6" ht="20" customHeight="1">
      <c r="A6" s="6" t="inlineStr">
        <is>
          <t>UI/UX Designer</t>
        </is>
      </c>
      <c r="B6" s="33" t="n">
        <v>5</v>
      </c>
      <c r="C6" s="33" t="n">
        <v>5</v>
      </c>
      <c r="D6" s="33" t="n">
        <v>2</v>
      </c>
      <c r="E6" s="33" t="n">
        <v>2</v>
      </c>
      <c r="F6" s="33" t="n">
        <v>1</v>
      </c>
      <c r="G6" s="33" t="n">
        <v>1</v>
      </c>
      <c r="H6" s="33" t="n">
        <v>1</v>
      </c>
      <c r="I6" s="33" t="n"/>
      <c r="J6" s="33" t="n"/>
      <c r="K6" s="33" t="n"/>
      <c r="L6" s="33" t="n"/>
      <c r="M6" s="33" t="n"/>
      <c r="N6" s="34">
        <f>SUM(B6:M6)</f>
        <v/>
      </c>
      <c r="O6" s="35">
        <f>N6/50</f>
        <v/>
      </c>
      <c r="P6" s="9" t="inlineStr">
        <is>
          <t>Design-heavy Wks 1–4; wraps at Phase 2</t>
        </is>
      </c>
    </row>
    <row r="7" ht="20" customHeight="1">
      <c r="A7" s="10" t="inlineStr">
        <is>
          <t>Mobile Developer (Sr.)</t>
        </is>
      </c>
      <c r="B7" s="36" t="n"/>
      <c r="C7" s="36" t="n">
        <v>1</v>
      </c>
      <c r="D7" s="36" t="n">
        <v>5</v>
      </c>
      <c r="E7" s="36" t="n">
        <v>5</v>
      </c>
      <c r="F7" s="36" t="n">
        <v>5</v>
      </c>
      <c r="G7" s="36" t="n">
        <v>5</v>
      </c>
      <c r="H7" s="36" t="n">
        <v>5</v>
      </c>
      <c r="I7" s="36" t="n">
        <v>4</v>
      </c>
      <c r="J7" s="36" t="n">
        <v>3</v>
      </c>
      <c r="K7" s="36" t="n">
        <v>3</v>
      </c>
      <c r="L7" s="36" t="n">
        <v>2</v>
      </c>
      <c r="M7" s="36" t="n">
        <v>2</v>
      </c>
      <c r="N7" s="34">
        <f>SUM(B7:M7)</f>
        <v/>
      </c>
      <c r="O7" s="35">
        <f>N7/50</f>
        <v/>
      </c>
      <c r="P7" s="13" t="inlineStr">
        <is>
          <t>Ionic/Capacitor customisation Wks 3–8; HC support</t>
        </is>
      </c>
    </row>
    <row r="8" ht="20" customHeight="1">
      <c r="A8" s="6" t="inlineStr">
        <is>
          <t>Backend Developer (Sr.)</t>
        </is>
      </c>
      <c r="B8" s="33" t="n">
        <v>2</v>
      </c>
      <c r="C8" s="33" t="n">
        <v>2</v>
      </c>
      <c r="D8" s="33" t="n">
        <v>5</v>
      </c>
      <c r="E8" s="33" t="n">
        <v>5</v>
      </c>
      <c r="F8" s="33" t="n">
        <v>5</v>
      </c>
      <c r="G8" s="33" t="n">
        <v>5</v>
      </c>
      <c r="H8" s="33" t="n">
        <v>4</v>
      </c>
      <c r="I8" s="33" t="n">
        <v>3</v>
      </c>
      <c r="J8" s="33" t="n">
        <v>3</v>
      </c>
      <c r="K8" s="33" t="n">
        <v>3</v>
      </c>
      <c r="L8" s="33" t="n">
        <v>2</v>
      </c>
      <c r="M8" s="33" t="n">
        <v>2</v>
      </c>
      <c r="N8" s="34">
        <f>SUM(B8:M8)</f>
        <v/>
      </c>
      <c r="O8" s="35">
        <f>N8/50</f>
        <v/>
      </c>
      <c r="P8" s="9" t="inlineStr">
        <is>
          <t>.NET 8 API Wks 1–2 design; full Wks 3–8; HC support</t>
        </is>
      </c>
    </row>
    <row r="9" ht="20" customHeight="1">
      <c r="A9" s="10" t="inlineStr">
        <is>
          <t>DevOps Engineer</t>
        </is>
      </c>
      <c r="B9" s="36" t="n">
        <v>3</v>
      </c>
      <c r="C9" s="36" t="n">
        <v>3</v>
      </c>
      <c r="D9" s="36" t="n">
        <v>2</v>
      </c>
      <c r="E9" s="36" t="n">
        <v>2</v>
      </c>
      <c r="F9" s="36" t="n">
        <v>2</v>
      </c>
      <c r="G9" s="36" t="n">
        <v>2</v>
      </c>
      <c r="H9" s="36" t="n">
        <v>2</v>
      </c>
      <c r="I9" s="36" t="n">
        <v>2</v>
      </c>
      <c r="J9" s="36" t="n">
        <v>5</v>
      </c>
      <c r="K9" s="36" t="n">
        <v>5</v>
      </c>
      <c r="L9" s="36" t="n">
        <v>3</v>
      </c>
      <c r="M9" s="36" t="n">
        <v>3</v>
      </c>
      <c r="N9" s="34">
        <f>SUM(B9:M9)</f>
        <v/>
      </c>
      <c r="O9" s="35">
        <f>N9/50</f>
        <v/>
      </c>
      <c r="P9" s="13" t="inlineStr">
        <is>
          <t>RDS/ECS setup Wks 1–2; prod deploy Wk9-10; HC monitoring</t>
        </is>
      </c>
    </row>
    <row r="10" ht="20" customHeight="1">
      <c r="A10" s="6" t="inlineStr">
        <is>
          <t>QA Engineer</t>
        </is>
      </c>
      <c r="B10" s="33" t="n"/>
      <c r="C10" s="33" t="n"/>
      <c r="D10" s="33" t="n">
        <v>1</v>
      </c>
      <c r="E10" s="33" t="n">
        <v>1</v>
      </c>
      <c r="F10" s="33" t="n">
        <v>1</v>
      </c>
      <c r="G10" s="33" t="n">
        <v>1</v>
      </c>
      <c r="H10" s="33" t="n">
        <v>3</v>
      </c>
      <c r="I10" s="33" t="n">
        <v>4</v>
      </c>
      <c r="J10" s="33" t="n">
        <v>5</v>
      </c>
      <c r="K10" s="33" t="n">
        <v>5</v>
      </c>
      <c r="L10" s="33" t="n">
        <v>1</v>
      </c>
      <c r="M10" s="33" t="n">
        <v>1</v>
      </c>
      <c r="N10" s="34">
        <f>SUM(B10:M10)</f>
        <v/>
      </c>
      <c r="O10" s="35">
        <f>N10/50</f>
        <v/>
      </c>
      <c r="P10" s="9" t="inlineStr">
        <is>
          <t>Engagement ramps from Wk 7; peak in QA phase Wk9-10</t>
        </is>
      </c>
    </row>
    <row r="11" ht="20" customHeight="1">
      <c r="A11" s="10" t="inlineStr">
        <is>
          <t>Security Consultant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>
        <v>4</v>
      </c>
      <c r="K11" s="36" t="n">
        <v>3</v>
      </c>
      <c r="L11" s="36" t="n"/>
      <c r="M11" s="36" t="n"/>
      <c r="N11" s="34">
        <f>SUM(B11:M11)</f>
        <v/>
      </c>
      <c r="O11" s="35">
        <f>N11/50</f>
        <v/>
      </c>
      <c r="P11" s="13" t="inlineStr">
        <is>
          <t>OWASP pentest Wk9-10 only; written report delivered</t>
        </is>
      </c>
    </row>
    <row r="12" ht="22" customHeight="1">
      <c r="A12" s="4" t="inlineStr">
        <is>
          <t>TOTAL TEAM-DAYS / WEEK</t>
        </is>
      </c>
      <c r="B12" s="37">
        <f>SUM(B4:B11)</f>
        <v/>
      </c>
      <c r="C12" s="37">
        <f>SUM(C4:C11)</f>
        <v/>
      </c>
      <c r="D12" s="37">
        <f>SUM(D4:D11)</f>
        <v/>
      </c>
      <c r="E12" s="37">
        <f>SUM(E4:E11)</f>
        <v/>
      </c>
      <c r="F12" s="37">
        <f>SUM(F4:F11)</f>
        <v/>
      </c>
      <c r="G12" s="37">
        <f>SUM(G4:G11)</f>
        <v/>
      </c>
      <c r="H12" s="37">
        <f>SUM(H4:H11)</f>
        <v/>
      </c>
      <c r="I12" s="37">
        <f>SUM(I4:I11)</f>
        <v/>
      </c>
      <c r="J12" s="37">
        <f>SUM(J4:J11)</f>
        <v/>
      </c>
      <c r="K12" s="37">
        <f>SUM(K4:K11)</f>
        <v/>
      </c>
      <c r="L12" s="37">
        <f>SUM(L4:L11)</f>
        <v/>
      </c>
      <c r="M12" s="37">
        <f>SUM(M4:M11)</f>
        <v/>
      </c>
      <c r="N12" s="37">
        <f>SUM(N4:N11)</f>
        <v/>
      </c>
    </row>
    <row r="13" ht="17" customHeight="1">
      <c r="A13" s="38" t="inlineStr">
        <is>
          <t>Max capacity (8 roles × 5d)</t>
        </is>
      </c>
      <c r="B13" s="39" t="n">
        <v>40</v>
      </c>
      <c r="C13" s="39" t="n">
        <v>40</v>
      </c>
      <c r="D13" s="39" t="n">
        <v>40</v>
      </c>
      <c r="E13" s="39" t="n">
        <v>40</v>
      </c>
      <c r="F13" s="39" t="n">
        <v>40</v>
      </c>
      <c r="G13" s="39" t="n">
        <v>40</v>
      </c>
      <c r="H13" s="39" t="n">
        <v>40</v>
      </c>
      <c r="I13" s="39" t="n">
        <v>40</v>
      </c>
      <c r="J13" s="39" t="n">
        <v>40</v>
      </c>
      <c r="K13" s="39" t="n">
        <v>40</v>
      </c>
      <c r="L13" s="39" t="n">
        <v>40</v>
      </c>
      <c r="M13" s="39" t="n">
        <v>40</v>
      </c>
      <c r="N13" s="40">
        <f>SUM(B13:M13)</f>
        <v/>
      </c>
    </row>
    <row r="14" ht="17" customHeight="1">
      <c r="A14" s="38" t="inlineStr">
        <is>
          <t>Utilisation %</t>
        </is>
      </c>
      <c r="B14" s="41">
        <f>IFERROR(B12/B13,"-")</f>
        <v/>
      </c>
      <c r="C14" s="41">
        <f>IFERROR(C12/C13,"-")</f>
        <v/>
      </c>
      <c r="D14" s="41">
        <f>IFERROR(D12/D13,"-")</f>
        <v/>
      </c>
      <c r="E14" s="41">
        <f>IFERROR(E12/E13,"-")</f>
        <v/>
      </c>
      <c r="F14" s="41">
        <f>IFERROR(F12/F13,"-")</f>
        <v/>
      </c>
      <c r="G14" s="41">
        <f>IFERROR(G12/G13,"-")</f>
        <v/>
      </c>
      <c r="H14" s="41">
        <f>IFERROR(H12/H13,"-")</f>
        <v/>
      </c>
      <c r="I14" s="41">
        <f>IFERROR(I12/I13,"-")</f>
        <v/>
      </c>
      <c r="J14" s="41">
        <f>IFERROR(J12/J13,"-")</f>
        <v/>
      </c>
      <c r="K14" s="41">
        <f>IFERROR(K12/K13,"-")</f>
        <v/>
      </c>
      <c r="L14" s="41">
        <f>IFERROR(L12/L13,"-")</f>
        <v/>
      </c>
      <c r="M14" s="41">
        <f>IFERROR(M12/M13,"-")</f>
        <v/>
      </c>
    </row>
    <row r="15" ht="8" customHeight="1"/>
    <row r="16" ht="20" customHeight="1">
      <c r="A16" s="42" t="inlineStr">
        <is>
          <t>⚡  Framework Advantage: 10-week model vs 14-16 weeks greenfield — pre-built .NET 8 + Ionic/Capacitor modules (Auth, CRUD APIs, media pipeline, push notifs, SignalR) save ~4-6 weeks.</t>
        </is>
      </c>
    </row>
    <row r="17" ht="8" customHeight="1"/>
    <row r="18" ht="20" customHeight="1">
      <c r="A18" s="4" t="inlineStr">
        <is>
          <t xml:space="preserve">  PHASE SUMMARY</t>
        </is>
      </c>
    </row>
    <row r="19" ht="17" customHeight="1">
      <c r="A19" s="43" t="inlineStr">
        <is>
          <t>Phase</t>
        </is>
      </c>
      <c r="B19" s="43" t="inlineStr">
        <is>
          <t>Weeks</t>
        </is>
      </c>
      <c r="C19" s="43" t="inlineStr">
        <is>
          <t>Team-Days</t>
        </is>
      </c>
      <c r="D19" s="43" t="inlineStr">
        <is>
          <t>% of Total</t>
        </is>
      </c>
      <c r="E19" s="43" t="inlineStr">
        <is>
          <t>Avg daily headcount</t>
        </is>
      </c>
      <c r="F19" s="43" t="inlineStr">
        <is>
          <t>Framework note</t>
        </is>
      </c>
    </row>
    <row r="20" ht="17" customHeight="1">
      <c r="A20" s="44" t="inlineStr">
        <is>
          <t>Phase 1: Discovery &amp; Config</t>
        </is>
      </c>
      <c r="B20" s="45" t="inlineStr">
        <is>
          <t>Wks 1–2</t>
        </is>
      </c>
      <c r="C20" s="46">
        <f>SUM(B12:C12)</f>
        <v/>
      </c>
      <c r="D20" s="47">
        <f>IFERROR(C20/C25,"-")</f>
        <v/>
      </c>
      <c r="E20" s="48">
        <f>IFERROR(ROUND(C20/(2*5),1),"-")</f>
        <v/>
      </c>
      <c r="F20" s="49" t="inlineStr">
        <is>
          <t>Stakeholder workshops, DB schema, Ionic scaffold, Figma</t>
        </is>
      </c>
    </row>
    <row r="21" ht="17" customHeight="1">
      <c r="A21" s="50" t="inlineStr">
        <is>
          <t>Phase 2: Core Customisation</t>
        </is>
      </c>
      <c r="B21" s="51" t="inlineStr">
        <is>
          <t>Wks 3–6</t>
        </is>
      </c>
      <c r="C21" s="52">
        <f>SUM(D12:G12)</f>
        <v/>
      </c>
      <c r="D21" s="53">
        <f>IFERROR(C21/C25,"-")</f>
        <v/>
      </c>
      <c r="E21" s="54">
        <f>IFERROR(ROUND(C21/(4*5),1),"-")</f>
        <v/>
      </c>
      <c r="F21" s="55" t="inlineStr">
        <is>
          <t>Auth, Member Dir, Prayer, Video — framework modules configured</t>
        </is>
      </c>
    </row>
    <row r="22" ht="17" customHeight="1">
      <c r="A22" s="44" t="inlineStr">
        <is>
          <t>Phase 3: Feature Completion</t>
        </is>
      </c>
      <c r="B22" s="45" t="inlineStr">
        <is>
          <t>Wks 7–8</t>
        </is>
      </c>
      <c r="C22" s="46">
        <f>SUM(H12:I12)</f>
        <v/>
      </c>
      <c r="D22" s="47">
        <f>IFERROR(C22/C25,"-")</f>
        <v/>
      </c>
      <c r="E22" s="48">
        <f>IFERROR(ROUND(C22/(2*5),1),"-")</f>
        <v/>
      </c>
      <c r="F22" s="49" t="inlineStr">
        <is>
          <t>Twilio Chat/VoIP, FCM push, admin RBAC, deep-link polish</t>
        </is>
      </c>
    </row>
    <row r="23" ht="17" customHeight="1">
      <c r="A23" s="50" t="inlineStr">
        <is>
          <t>Phase 4: QA, UAT &amp; Launch</t>
        </is>
      </c>
      <c r="B23" s="51" t="inlineStr">
        <is>
          <t>Wks 9–10</t>
        </is>
      </c>
      <c r="C23" s="52">
        <f>SUM(J12:K12)</f>
        <v/>
      </c>
      <c r="D23" s="53">
        <f>IFERROR(C23/C25,"-")</f>
        <v/>
      </c>
      <c r="E23" s="54">
        <f>IFERROR(ROUND(C23/(2*5),1),"-")</f>
        <v/>
      </c>
      <c r="F23" s="55" t="inlineStr">
        <is>
          <t>xUnit + Playwright + Appium + OWASP + UAT + Store submit</t>
        </is>
      </c>
    </row>
    <row r="24" ht="17" customHeight="1">
      <c r="A24" s="44" t="inlineStr">
        <is>
          <t>Hypercare (Free — 30 days)</t>
        </is>
      </c>
      <c r="B24" s="45" t="inlineStr">
        <is>
          <t>HC 1–2</t>
        </is>
      </c>
      <c r="C24" s="46">
        <f>SUM(L12:M12)</f>
        <v/>
      </c>
      <c r="D24" s="47">
        <f>IFERROR(C24/C25,"-")</f>
        <v/>
      </c>
      <c r="E24" s="48">
        <f>IFERROR(ROUND(C24/(2*5),1),"-")</f>
        <v/>
      </c>
      <c r="F24" s="49" t="inlineStr">
        <is>
          <t>Free bug fixes, monitoring, admin training, handover docs</t>
        </is>
      </c>
    </row>
    <row r="25" ht="17" customHeight="1">
      <c r="A25" s="56" t="inlineStr">
        <is>
          <t>TOTAL</t>
        </is>
      </c>
      <c r="B25" s="57" t="inlineStr">
        <is>
          <t>12 wks</t>
        </is>
      </c>
      <c r="C25" s="58">
        <f>SUM(B12:M12)</f>
        <v/>
      </c>
      <c r="D25" s="59">
        <f>IFERROR(C25/C25,"-")</f>
        <v/>
      </c>
      <c r="E25" s="60">
        <f>IFERROR(ROUND(C25/(12*5),1),"-")</f>
        <v/>
      </c>
      <c r="F25" s="61" t="inlineStr">
        <is>
          <t>10 core + 2 hypercare | Framework saves ~4–6 weeks vs greenfield</t>
        </is>
      </c>
    </row>
  </sheetData>
  <mergeCells count="8">
    <mergeCell ref="L2:M2"/>
    <mergeCell ref="B2:C2"/>
    <mergeCell ref="H2:I2"/>
    <mergeCell ref="A18:G18"/>
    <mergeCell ref="A1:P1"/>
    <mergeCell ref="J2:K2"/>
    <mergeCell ref="A16:P16"/>
    <mergeCell ref="D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4" customWidth="1" min="4" max="4"/>
    <col width="14" customWidth="1" min="5" max="5"/>
    <col width="20" customWidth="1" min="6" max="6"/>
    <col width="18" customWidth="1" min="7" max="7"/>
    <col width="20" customWidth="1" min="8" max="8"/>
    <col width="11" customWidth="1" min="9" max="9"/>
    <col width="30" customWidth="1" min="10" max="10"/>
  </cols>
  <sheetData>
    <row r="1" ht="40" customHeight="1">
      <c r="A1" s="25" t="inlineStr">
        <is>
          <t>ANM Community App — Cost Build-up &amp; Pricing Model | .NET 8 + Ionic/Capacitor + PostgreSQL | 10-Week Delivery | INR</t>
        </is>
      </c>
    </row>
    <row r="2" ht="14" customHeight="1">
      <c r="A2" s="62" t="inlineStr">
        <is>
          <t>Green = cross-sheet link  ·  Blue = editable input  ·  Black = formula  ·  Margin applied in rows 14–17  ·  All amounts in INR (₹)</t>
        </is>
      </c>
    </row>
    <row r="3" ht="30" customHeight="1">
      <c r="A3" s="63" t="inlineStr">
        <is>
          <t>Role</t>
        </is>
      </c>
      <c r="B3" s="63" t="inlineStr">
        <is>
          <t>Daily Rate (₹)</t>
        </is>
      </c>
      <c r="C3" s="63" t="inlineStr">
        <is>
          <t>Project Days
(Wks 1–10)</t>
        </is>
      </c>
      <c r="D3" s="63" t="inlineStr">
        <is>
          <t>HC Days
(2 wks)</t>
        </is>
      </c>
      <c r="E3" s="63" t="inlineStr">
        <is>
          <t>Total
Days</t>
        </is>
      </c>
      <c r="F3" s="63" t="inlineStr">
        <is>
          <t>Project Cost
(₹)</t>
        </is>
      </c>
      <c r="G3" s="63" t="inlineStr">
        <is>
          <t>HC Cost
(₹)</t>
        </is>
      </c>
      <c r="H3" s="63" t="inlineStr">
        <is>
          <t>Total Cost
(₹)</t>
        </is>
      </c>
      <c r="I3" s="63" t="inlineStr">
        <is>
          <t>% of
Total</t>
        </is>
      </c>
      <c r="J3" s="63" t="inlineStr">
        <is>
          <t>Source / Notes</t>
        </is>
      </c>
    </row>
    <row r="4" ht="20" customHeight="1">
      <c r="A4" s="6" t="inlineStr">
        <is>
          <t>Project Manager</t>
        </is>
      </c>
      <c r="B4" s="64">
        <f>Assumptions!B13</f>
        <v/>
      </c>
      <c r="C4" s="65">
        <f>SUM('Resource Plan'!B4:K4)</f>
        <v/>
      </c>
      <c r="D4" s="65">
        <f>SUM('Resource Plan'!L4:M4)</f>
        <v/>
      </c>
      <c r="E4" s="66">
        <f>C4+D4</f>
        <v/>
      </c>
      <c r="F4" s="67">
        <f>B4*C4</f>
        <v/>
      </c>
      <c r="G4" s="67">
        <f>B4*D4</f>
        <v/>
      </c>
      <c r="H4" s="67">
        <f>F4+G4</f>
        <v/>
      </c>
      <c r="I4" s="68">
        <f>IFERROR(H4/H12,0)</f>
        <v/>
      </c>
      <c r="J4" s="69" t="inlineStr">
        <is>
          <t>Rate: Assumptions!B13  |  Days: Resource Plan row 4, cols B:K (core) and L:M (HC)</t>
        </is>
      </c>
    </row>
    <row r="5" ht="20" customHeight="1">
      <c r="A5" s="10" t="inlineStr">
        <is>
          <t>Solution Architect</t>
        </is>
      </c>
      <c r="B5" s="70">
        <f>Assumptions!B14</f>
        <v/>
      </c>
      <c r="C5" s="71">
        <f>SUM('Resource Plan'!B5:K5)</f>
        <v/>
      </c>
      <c r="D5" s="71">
        <f>SUM('Resource Plan'!L5:M5)</f>
        <v/>
      </c>
      <c r="E5" s="72">
        <f>C5+D5</f>
        <v/>
      </c>
      <c r="F5" s="73">
        <f>B5*C5</f>
        <v/>
      </c>
      <c r="G5" s="73">
        <f>B5*D5</f>
        <v/>
      </c>
      <c r="H5" s="73">
        <f>F5+G5</f>
        <v/>
      </c>
      <c r="I5" s="74">
        <f>IFERROR(H5/H12,0)</f>
        <v/>
      </c>
      <c r="J5" s="69" t="inlineStr">
        <is>
          <t>Rate: Assumptions!B14  |  Primarily Wks 1–2; sign-off gates in Wk6 &amp; Wk10</t>
        </is>
      </c>
    </row>
    <row r="6" ht="20" customHeight="1">
      <c r="A6" s="6" t="inlineStr">
        <is>
          <t>UI/UX Designer</t>
        </is>
      </c>
      <c r="B6" s="64">
        <f>Assumptions!B15</f>
        <v/>
      </c>
      <c r="C6" s="65">
        <f>SUM('Resource Plan'!B6:K6)</f>
        <v/>
      </c>
      <c r="D6" s="65">
        <f>SUM('Resource Plan'!L6:M6)</f>
        <v/>
      </c>
      <c r="E6" s="66">
        <f>C6+D6</f>
        <v/>
      </c>
      <c r="F6" s="67">
        <f>B6*C6</f>
        <v/>
      </c>
      <c r="G6" s="67">
        <f>B6*D6</f>
        <v/>
      </c>
      <c r="H6" s="67">
        <f>F6+G6</f>
        <v/>
      </c>
      <c r="I6" s="68">
        <f>IFERROR(H6/H12,0)</f>
        <v/>
      </c>
      <c r="J6" s="69" t="inlineStr">
        <is>
          <t>Rate: Assumptions!B15  |  Design-heavy Wks 1–4; wraps by Wk7</t>
        </is>
      </c>
    </row>
    <row r="7" ht="20" customHeight="1">
      <c r="A7" s="10" t="inlineStr">
        <is>
          <t>Mobile Developer (Sr.)</t>
        </is>
      </c>
      <c r="B7" s="70">
        <f>Assumptions!B16</f>
        <v/>
      </c>
      <c r="C7" s="71">
        <f>SUM('Resource Plan'!B7:K7)</f>
        <v/>
      </c>
      <c r="D7" s="71">
        <f>SUM('Resource Plan'!L7:M7)</f>
        <v/>
      </c>
      <c r="E7" s="72">
        <f>C7+D7</f>
        <v/>
      </c>
      <c r="F7" s="73">
        <f>B7*C7</f>
        <v/>
      </c>
      <c r="G7" s="73">
        <f>B7*D7</f>
        <v/>
      </c>
      <c r="H7" s="73">
        <f>F7+G7</f>
        <v/>
      </c>
      <c r="I7" s="74">
        <f>IFERROR(H7/H12,0)</f>
        <v/>
      </c>
      <c r="J7" s="69" t="inlineStr">
        <is>
          <t>Rate: Assumptions!B16  |  Ionic/Capacitor customisation Wks 3–8; HC support</t>
        </is>
      </c>
    </row>
    <row r="8" ht="20" customHeight="1">
      <c r="A8" s="6" t="inlineStr">
        <is>
          <t>Backend Developer (Sr.)</t>
        </is>
      </c>
      <c r="B8" s="64">
        <f>Assumptions!B17</f>
        <v/>
      </c>
      <c r="C8" s="65">
        <f>SUM('Resource Plan'!B8:K8)</f>
        <v/>
      </c>
      <c r="D8" s="65">
        <f>SUM('Resource Plan'!L8:M8)</f>
        <v/>
      </c>
      <c r="E8" s="66">
        <f>C8+D8</f>
        <v/>
      </c>
      <c r="F8" s="67">
        <f>B8*C8</f>
        <v/>
      </c>
      <c r="G8" s="67">
        <f>B8*D8</f>
        <v/>
      </c>
      <c r="H8" s="67">
        <f>F8+G8</f>
        <v/>
      </c>
      <c r="I8" s="68">
        <f>IFERROR(H8/H12,0)</f>
        <v/>
      </c>
      <c r="J8" s="69" t="inlineStr">
        <is>
          <t>Rate: Assumptions!B17  |  ASP.NET Core .NET 8 APIs Wks 1–10; HC support</t>
        </is>
      </c>
    </row>
    <row r="9" ht="20" customHeight="1">
      <c r="A9" s="10" t="inlineStr">
        <is>
          <t>DevOps Engineer</t>
        </is>
      </c>
      <c r="B9" s="70">
        <f>Assumptions!B18</f>
        <v/>
      </c>
      <c r="C9" s="71">
        <f>SUM('Resource Plan'!B9:K9)</f>
        <v/>
      </c>
      <c r="D9" s="71">
        <f>SUM('Resource Plan'!L9:M9)</f>
        <v/>
      </c>
      <c r="E9" s="72">
        <f>C9+D9</f>
        <v/>
      </c>
      <c r="F9" s="73">
        <f>B9*C9</f>
        <v/>
      </c>
      <c r="G9" s="73">
        <f>B9*D9</f>
        <v/>
      </c>
      <c r="H9" s="73">
        <f>F9+G9</f>
        <v/>
      </c>
      <c r="I9" s="74">
        <f>IFERROR(H9/H12,0)</f>
        <v/>
      </c>
      <c r="J9" s="69" t="inlineStr">
        <is>
          <t>Rate: Assumptions!B18  |  RDS/ECS setup Wks 1–2; prod deploy Wk9–10; HC monitoring</t>
        </is>
      </c>
    </row>
    <row r="10" ht="20" customHeight="1">
      <c r="A10" s="6" t="inlineStr">
        <is>
          <t>QA Engineer</t>
        </is>
      </c>
      <c r="B10" s="64">
        <f>Assumptions!B19</f>
        <v/>
      </c>
      <c r="C10" s="65">
        <f>SUM('Resource Plan'!B10:K10)</f>
        <v/>
      </c>
      <c r="D10" s="65">
        <f>SUM('Resource Plan'!L10:M10)</f>
        <v/>
      </c>
      <c r="E10" s="66">
        <f>C10+D10</f>
        <v/>
      </c>
      <c r="F10" s="67">
        <f>B10*C10</f>
        <v/>
      </c>
      <c r="G10" s="67">
        <f>B10*D10</f>
        <v/>
      </c>
      <c r="H10" s="67">
        <f>F10+G10</f>
        <v/>
      </c>
      <c r="I10" s="68">
        <f>IFERROR(H10/H12,0)</f>
        <v/>
      </c>
      <c r="J10" s="69" t="inlineStr">
        <is>
          <t>Rate: Assumptions!B19  |  xUnit + Playwright + Appium; ramps from Wk7; peak Wk9–10</t>
        </is>
      </c>
    </row>
    <row r="11" ht="20" customHeight="1">
      <c r="A11" s="10" t="inlineStr">
        <is>
          <t>Security Consultant</t>
        </is>
      </c>
      <c r="B11" s="70">
        <f>Assumptions!B20</f>
        <v/>
      </c>
      <c r="C11" s="71">
        <f>SUM('Resource Plan'!B11:K11)</f>
        <v/>
      </c>
      <c r="D11" s="71">
        <f>SUM('Resource Plan'!L11:M11)</f>
        <v/>
      </c>
      <c r="E11" s="72">
        <f>C11+D11</f>
        <v/>
      </c>
      <c r="F11" s="73">
        <f>B11*C11</f>
        <v/>
      </c>
      <c r="G11" s="73">
        <f>B11*D11</f>
        <v/>
      </c>
      <c r="H11" s="73">
        <f>F11+G11</f>
        <v/>
      </c>
      <c r="I11" s="74">
        <f>IFERROR(H11/H12,0)</f>
        <v/>
      </c>
      <c r="J11" s="69" t="inlineStr">
        <is>
          <t>Rate: Assumptions!B20  |  OWASP pentest Wk9–10 only; fixed scope; report delivered</t>
        </is>
      </c>
    </row>
    <row r="12" ht="22" customHeight="1">
      <c r="A12" s="4" t="inlineStr">
        <is>
          <t xml:space="preserve">  TOTAL COST  (before margin)</t>
        </is>
      </c>
      <c r="B12" s="75" t="n"/>
      <c r="C12" s="37">
        <f>SUM(C4:C11)</f>
        <v/>
      </c>
      <c r="D12" s="37">
        <f>SUM(D4:D11)</f>
        <v/>
      </c>
      <c r="E12" s="37">
        <f>SUM(E4:E11)</f>
        <v/>
      </c>
      <c r="F12" s="76">
        <f>SUM(F4:F11)</f>
        <v/>
      </c>
      <c r="G12" s="76">
        <f>SUM(G4:G11)</f>
        <v/>
      </c>
      <c r="H12" s="76">
        <f>SUM(H4:H11)</f>
        <v/>
      </c>
      <c r="I12" s="77" t="inlineStr">
        <is>
          <t>100.0%</t>
        </is>
      </c>
    </row>
    <row r="13" ht="8" customHeight="1"/>
    <row r="14" ht="26" customHeight="1">
      <c r="A14" s="78" t="inlineStr">
        <is>
          <t>Total Cost (₹)</t>
        </is>
      </c>
      <c r="H14" s="79">
        <f>H12</f>
        <v/>
      </c>
    </row>
    <row r="15" ht="26" customHeight="1">
      <c r="A15" s="80" t="inlineStr">
        <is>
          <t>Gross Margin % (50%)</t>
        </is>
      </c>
      <c r="H15" s="81">
        <f>Assumptions!B25</f>
        <v/>
      </c>
    </row>
    <row r="16" ht="26" customHeight="1">
      <c r="A16" s="82" t="inlineStr">
        <is>
          <t>Margin Amount (₹)</t>
        </is>
      </c>
      <c r="H16" s="83">
        <f>H14*H15</f>
        <v/>
      </c>
    </row>
    <row r="17" ht="26" customHeight="1">
      <c r="A17" s="84" t="inlineStr">
        <is>
          <t>TOTAL CLIENT PRICE (₹)</t>
        </is>
      </c>
      <c r="H17" s="85">
        <f>H14+H16</f>
        <v/>
      </c>
    </row>
    <row r="18" ht="20" customHeight="1">
      <c r="A18" s="86" t="inlineStr">
        <is>
          <t>💡  Packages: Starter ₹32L  ·  Standard ₹38L (Recommended)  ·  Enterprise ₹48L  |  AMC: ₹15K-₹40K/mo  |  AWS Infra: ~₹44,825/mo (see Platform Costs sheet)</t>
        </is>
      </c>
    </row>
    <row r="19" ht="8" customHeight="1"/>
    <row r="20" ht="22" customHeight="1">
      <c r="A20" s="4" t="inlineStr">
        <is>
          <t xml:space="preserve">  COST &amp; PRICE BY DELIVERY PHASE  (10-Week + Hypercare Model)</t>
        </is>
      </c>
    </row>
    <row r="21" ht="28" customHeight="1">
      <c r="A21" s="87" t="inlineStr">
        <is>
          <t>Phase</t>
        </is>
      </c>
      <c r="B21" s="87" t="inlineStr">
        <is>
          <t>Weeks</t>
        </is>
      </c>
      <c r="C21" s="87" t="inlineStr">
        <is>
          <t>Team-Days</t>
        </is>
      </c>
      <c r="D21" s="87" t="inlineStr">
        <is>
          <t>Proportional Cost (₹)</t>
        </is>
      </c>
      <c r="E21" s="87" t="inlineStr">
        <is>
          <t>Selling Price incl. 50% Margin</t>
        </is>
      </c>
      <c r="F21" s="87" t="inlineStr">
        <is>
          <t>% of Total Price</t>
        </is>
      </c>
    </row>
    <row r="22" ht="18" customHeight="1">
      <c r="A22" s="44" t="inlineStr">
        <is>
          <t>Phase 1: Discovery &amp; Config</t>
        </is>
      </c>
      <c r="B22" s="45" t="inlineStr">
        <is>
          <t>Wks 1–2</t>
        </is>
      </c>
      <c r="C22" s="65">
        <f>SUM('Resource Plan'!B12:C12)</f>
        <v/>
      </c>
      <c r="D22" s="88">
        <f>IFERROR(C22/E12*H12,0)</f>
        <v/>
      </c>
      <c r="E22" s="89">
        <f>IFERROR(D22*(1+Assumptions!B25),0)</f>
        <v/>
      </c>
      <c r="F22" s="47">
        <f>IFERROR(E22/H17,"-")</f>
        <v/>
      </c>
    </row>
    <row r="23" ht="18" customHeight="1">
      <c r="A23" s="50" t="inlineStr">
        <is>
          <t>Phase 2: Core Customisation</t>
        </is>
      </c>
      <c r="B23" s="51" t="inlineStr">
        <is>
          <t>Wks 3–6</t>
        </is>
      </c>
      <c r="C23" s="71">
        <f>SUM('Resource Plan'!D12:G12)</f>
        <v/>
      </c>
      <c r="D23" s="90">
        <f>IFERROR(C23/E12*H12,0)</f>
        <v/>
      </c>
      <c r="E23" s="91">
        <f>IFERROR(D23*(1+Assumptions!B25),0)</f>
        <v/>
      </c>
      <c r="F23" s="53">
        <f>IFERROR(E23/H17,"-")</f>
        <v/>
      </c>
    </row>
    <row r="24" ht="18" customHeight="1">
      <c r="A24" s="44" t="inlineStr">
        <is>
          <t>Phase 3: Feature Completion</t>
        </is>
      </c>
      <c r="B24" s="45" t="inlineStr">
        <is>
          <t>Wks 7–8</t>
        </is>
      </c>
      <c r="C24" s="65">
        <f>SUM('Resource Plan'!H12:I12)</f>
        <v/>
      </c>
      <c r="D24" s="88">
        <f>IFERROR(C24/E12*H12,0)</f>
        <v/>
      </c>
      <c r="E24" s="89">
        <f>IFERROR(D24*(1+Assumptions!B25),0)</f>
        <v/>
      </c>
      <c r="F24" s="47">
        <f>IFERROR(E24/H17,"-")</f>
        <v/>
      </c>
    </row>
    <row r="25" ht="18" customHeight="1">
      <c r="A25" s="50" t="inlineStr">
        <is>
          <t>Phase 4: QA, UAT &amp; Launch</t>
        </is>
      </c>
      <c r="B25" s="51" t="inlineStr">
        <is>
          <t>Wks 9–10</t>
        </is>
      </c>
      <c r="C25" s="71">
        <f>SUM('Resource Plan'!J12:K12)</f>
        <v/>
      </c>
      <c r="D25" s="90">
        <f>IFERROR(C25/E12*H12,0)</f>
        <v/>
      </c>
      <c r="E25" s="91">
        <f>IFERROR(D25*(1+Assumptions!B25),0)</f>
        <v/>
      </c>
      <c r="F25" s="53">
        <f>IFERROR(E25/H17,"-")</f>
        <v/>
      </c>
    </row>
    <row r="26" ht="18" customHeight="1">
      <c r="A26" s="44" t="inlineStr">
        <is>
          <t>Hypercare (Free — 30 days)</t>
        </is>
      </c>
      <c r="B26" s="45" t="inlineStr">
        <is>
          <t>HC 1–2</t>
        </is>
      </c>
      <c r="C26" s="65">
        <f>SUM('Resource Plan'!L12:M12)</f>
        <v/>
      </c>
      <c r="D26" s="88">
        <f>IFERROR(C26/E12*H12,0)</f>
        <v/>
      </c>
      <c r="E26" s="89">
        <f>IFERROR(D26*(1+Assumptions!B25),0)</f>
        <v/>
      </c>
      <c r="F26" s="47">
        <f>IFERROR(E26/H17,"-")</f>
        <v/>
      </c>
    </row>
    <row r="27" ht="18" customHeight="1">
      <c r="A27" s="56" t="inlineStr">
        <is>
          <t>TOTAL</t>
        </is>
      </c>
      <c r="B27" s="57" t="inlineStr">
        <is>
          <t>12 wks</t>
        </is>
      </c>
      <c r="C27" s="58">
        <f>E12</f>
        <v/>
      </c>
      <c r="D27" s="92">
        <f>IFERROR(C27/E12*H12,0)</f>
        <v/>
      </c>
      <c r="E27" s="93">
        <f>IFERROR(D27*(1+Assumptions!B25),0)</f>
        <v/>
      </c>
      <c r="F27" s="59">
        <f>IFERROR(E27/H17,"-")</f>
        <v/>
      </c>
    </row>
  </sheetData>
  <mergeCells count="8">
    <mergeCell ref="A1:J1"/>
    <mergeCell ref="A14:G14"/>
    <mergeCell ref="A17:G17"/>
    <mergeCell ref="A18:J18"/>
    <mergeCell ref="A16:G16"/>
    <mergeCell ref="A15:G15"/>
    <mergeCell ref="A20:J20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8" customWidth="1" min="12" max="12"/>
    <col width="17" customWidth="1" min="13" max="13"/>
    <col width="19" customWidth="1" min="14" max="14"/>
  </cols>
  <sheetData>
    <row r="1" ht="40" customHeight="1">
      <c r="A1" s="25" t="inlineStr">
        <is>
          <t>ANM Community App — Weekly Cost Breakdown &amp; Cash Flow | .NET 8 Framework | 10-Week Delivery | INR</t>
        </is>
      </c>
    </row>
    <row r="2" ht="14" customHeight="1">
      <c r="A2" s="62" t="inlineStr">
        <is>
          <t>Costs = days (Resource Plan) × rate (Assumptions)  ·  Selling price = cost × (1 + 50% margin)  ·  All amounts in INR (₹)  ·  12 weeks total incl. 2 hypercare</t>
        </is>
      </c>
    </row>
    <row r="3" ht="30" customHeight="1">
      <c r="A3" s="63" t="inlineStr">
        <is>
          <t>Week</t>
        </is>
      </c>
      <c r="B3" s="63" t="inlineStr">
        <is>
          <t>Phase</t>
        </is>
      </c>
      <c r="C3" s="63" t="inlineStr">
        <is>
          <t>PM</t>
        </is>
      </c>
      <c r="D3" s="63" t="inlineStr">
        <is>
          <t>Architect</t>
        </is>
      </c>
      <c r="E3" s="63" t="inlineStr">
        <is>
          <t>Designer</t>
        </is>
      </c>
      <c r="F3" s="63" t="inlineStr">
        <is>
          <t>Mobile Dev
(Ionic/Cap)</t>
        </is>
      </c>
      <c r="G3" s="63" t="inlineStr">
        <is>
          <t>Backend Dev
(.NET 8)</t>
        </is>
      </c>
      <c r="H3" s="63" t="inlineStr">
        <is>
          <t>DevOps
(RDS/ECS)</t>
        </is>
      </c>
      <c r="I3" s="63" t="inlineStr">
        <is>
          <t>QA Eng</t>
        </is>
      </c>
      <c r="J3" s="63" t="inlineStr">
        <is>
          <t>Security</t>
        </is>
      </c>
      <c r="K3" s="63" t="inlineStr">
        <is>
          <t>Total Cost
/Wk (₹)</t>
        </is>
      </c>
      <c r="L3" s="63" t="inlineStr">
        <is>
          <t>Cumul. Cost
(₹)</t>
        </is>
      </c>
      <c r="M3" s="63" t="inlineStr">
        <is>
          <t>Sell Price
/Wk (₹)</t>
        </is>
      </c>
      <c r="N3" s="63" t="inlineStr">
        <is>
          <t>Cumul. Sell
Price (₹)</t>
        </is>
      </c>
    </row>
    <row r="4" ht="20" customHeight="1">
      <c r="A4" s="94" t="inlineStr">
        <is>
          <t>Wk 1</t>
        </is>
      </c>
      <c r="B4" s="95" t="inlineStr">
        <is>
          <t>Phase 1: Discovery &amp; Config</t>
        </is>
      </c>
      <c r="C4" s="96">
        <f>'Resource Plan'!B4*Assumptions!B13</f>
        <v/>
      </c>
      <c r="D4" s="96">
        <f>'Resource Plan'!B5*Assumptions!B14</f>
        <v/>
      </c>
      <c r="E4" s="96">
        <f>'Resource Plan'!B6*Assumptions!B15</f>
        <v/>
      </c>
      <c r="F4" s="96">
        <f>'Resource Plan'!B7*Assumptions!B16</f>
        <v/>
      </c>
      <c r="G4" s="96">
        <f>'Resource Plan'!B8*Assumptions!B17</f>
        <v/>
      </c>
      <c r="H4" s="96">
        <f>'Resource Plan'!B9*Assumptions!B18</f>
        <v/>
      </c>
      <c r="I4" s="96">
        <f>'Resource Plan'!B10*Assumptions!B19</f>
        <v/>
      </c>
      <c r="J4" s="96">
        <f>'Resource Plan'!B11*Assumptions!B20</f>
        <v/>
      </c>
      <c r="K4" s="97">
        <f>SUM(C4:J4)</f>
        <v/>
      </c>
      <c r="L4" s="98">
        <f>K4</f>
        <v/>
      </c>
      <c r="M4" s="99">
        <f>K4*(1+Assumptions!B25)</f>
        <v/>
      </c>
      <c r="N4" s="100">
        <f>M4</f>
        <v/>
      </c>
    </row>
    <row r="5" ht="20" customHeight="1">
      <c r="A5" s="94" t="inlineStr">
        <is>
          <t>Wk 2</t>
        </is>
      </c>
      <c r="B5" s="95" t="inlineStr">
        <is>
          <t>Phase 1: Discovery &amp; Config</t>
        </is>
      </c>
      <c r="C5" s="96">
        <f>'Resource Plan'!C4*Assumptions!B13</f>
        <v/>
      </c>
      <c r="D5" s="96">
        <f>'Resource Plan'!C5*Assumptions!B14</f>
        <v/>
      </c>
      <c r="E5" s="96">
        <f>'Resource Plan'!C6*Assumptions!B15</f>
        <v/>
      </c>
      <c r="F5" s="96">
        <f>'Resource Plan'!C7*Assumptions!B16</f>
        <v/>
      </c>
      <c r="G5" s="96">
        <f>'Resource Plan'!C8*Assumptions!B17</f>
        <v/>
      </c>
      <c r="H5" s="96">
        <f>'Resource Plan'!C9*Assumptions!B18</f>
        <v/>
      </c>
      <c r="I5" s="96">
        <f>'Resource Plan'!C10*Assumptions!B19</f>
        <v/>
      </c>
      <c r="J5" s="96">
        <f>'Resource Plan'!C11*Assumptions!B20</f>
        <v/>
      </c>
      <c r="K5" s="97">
        <f>SUM(C5:J5)</f>
        <v/>
      </c>
      <c r="L5" s="98">
        <f>L4+K5</f>
        <v/>
      </c>
      <c r="M5" s="99">
        <f>K5*(1+Assumptions!B25)</f>
        <v/>
      </c>
      <c r="N5" s="100">
        <f>N4+M5</f>
        <v/>
      </c>
    </row>
    <row r="6" ht="20" customHeight="1">
      <c r="A6" s="101" t="inlineStr">
        <is>
          <t>Wk 3</t>
        </is>
      </c>
      <c r="B6" s="102" t="inlineStr">
        <is>
          <t>Phase 2: Core Customisation</t>
        </is>
      </c>
      <c r="C6" s="103">
        <f>'Resource Plan'!D4*Assumptions!B13</f>
        <v/>
      </c>
      <c r="D6" s="103">
        <f>'Resource Plan'!D5*Assumptions!B14</f>
        <v/>
      </c>
      <c r="E6" s="103">
        <f>'Resource Plan'!D6*Assumptions!B15</f>
        <v/>
      </c>
      <c r="F6" s="103">
        <f>'Resource Plan'!D7*Assumptions!B16</f>
        <v/>
      </c>
      <c r="G6" s="103">
        <f>'Resource Plan'!D8*Assumptions!B17</f>
        <v/>
      </c>
      <c r="H6" s="103">
        <f>'Resource Plan'!D9*Assumptions!B18</f>
        <v/>
      </c>
      <c r="I6" s="103">
        <f>'Resource Plan'!D10*Assumptions!B19</f>
        <v/>
      </c>
      <c r="J6" s="103">
        <f>'Resource Plan'!D11*Assumptions!B20</f>
        <v/>
      </c>
      <c r="K6" s="97">
        <f>SUM(C6:J6)</f>
        <v/>
      </c>
      <c r="L6" s="98">
        <f>L5+K6</f>
        <v/>
      </c>
      <c r="M6" s="99">
        <f>K6*(1+Assumptions!B25)</f>
        <v/>
      </c>
      <c r="N6" s="100">
        <f>N5+M6</f>
        <v/>
      </c>
    </row>
    <row r="7" ht="20" customHeight="1">
      <c r="A7" s="101" t="inlineStr">
        <is>
          <t>Wk 4</t>
        </is>
      </c>
      <c r="B7" s="102" t="inlineStr">
        <is>
          <t>Phase 2: Core Customisation</t>
        </is>
      </c>
      <c r="C7" s="103">
        <f>'Resource Plan'!E4*Assumptions!B13</f>
        <v/>
      </c>
      <c r="D7" s="103">
        <f>'Resource Plan'!E5*Assumptions!B14</f>
        <v/>
      </c>
      <c r="E7" s="103">
        <f>'Resource Plan'!E6*Assumptions!B15</f>
        <v/>
      </c>
      <c r="F7" s="103">
        <f>'Resource Plan'!E7*Assumptions!B16</f>
        <v/>
      </c>
      <c r="G7" s="103">
        <f>'Resource Plan'!E8*Assumptions!B17</f>
        <v/>
      </c>
      <c r="H7" s="103">
        <f>'Resource Plan'!E9*Assumptions!B18</f>
        <v/>
      </c>
      <c r="I7" s="103">
        <f>'Resource Plan'!E10*Assumptions!B19</f>
        <v/>
      </c>
      <c r="J7" s="103">
        <f>'Resource Plan'!E11*Assumptions!B20</f>
        <v/>
      </c>
      <c r="K7" s="97">
        <f>SUM(C7:J7)</f>
        <v/>
      </c>
      <c r="L7" s="98">
        <f>L6+K7</f>
        <v/>
      </c>
      <c r="M7" s="99">
        <f>K7*(1+Assumptions!B25)</f>
        <v/>
      </c>
      <c r="N7" s="100">
        <f>N6+M7</f>
        <v/>
      </c>
    </row>
    <row r="8" ht="20" customHeight="1">
      <c r="A8" s="101" t="inlineStr">
        <is>
          <t>Wk 5</t>
        </is>
      </c>
      <c r="B8" s="102" t="inlineStr">
        <is>
          <t>Phase 2: Core Customisation</t>
        </is>
      </c>
      <c r="C8" s="103">
        <f>'Resource Plan'!F4*Assumptions!B13</f>
        <v/>
      </c>
      <c r="D8" s="103">
        <f>'Resource Plan'!F5*Assumptions!B14</f>
        <v/>
      </c>
      <c r="E8" s="103">
        <f>'Resource Plan'!F6*Assumptions!B15</f>
        <v/>
      </c>
      <c r="F8" s="103">
        <f>'Resource Plan'!F7*Assumptions!B16</f>
        <v/>
      </c>
      <c r="G8" s="103">
        <f>'Resource Plan'!F8*Assumptions!B17</f>
        <v/>
      </c>
      <c r="H8" s="103">
        <f>'Resource Plan'!F9*Assumptions!B18</f>
        <v/>
      </c>
      <c r="I8" s="103">
        <f>'Resource Plan'!F10*Assumptions!B19</f>
        <v/>
      </c>
      <c r="J8" s="103">
        <f>'Resource Plan'!F11*Assumptions!B20</f>
        <v/>
      </c>
      <c r="K8" s="97">
        <f>SUM(C8:J8)</f>
        <v/>
      </c>
      <c r="L8" s="98">
        <f>L7+K8</f>
        <v/>
      </c>
      <c r="M8" s="99">
        <f>K8*(1+Assumptions!B25)</f>
        <v/>
      </c>
      <c r="N8" s="100">
        <f>N7+M8</f>
        <v/>
      </c>
    </row>
    <row r="9" ht="20" customHeight="1">
      <c r="A9" s="101" t="inlineStr">
        <is>
          <t>Wk 6</t>
        </is>
      </c>
      <c r="B9" s="102" t="inlineStr">
        <is>
          <t>Phase 2: Core Customisation</t>
        </is>
      </c>
      <c r="C9" s="103">
        <f>'Resource Plan'!G4*Assumptions!B13</f>
        <v/>
      </c>
      <c r="D9" s="103">
        <f>'Resource Plan'!G5*Assumptions!B14</f>
        <v/>
      </c>
      <c r="E9" s="103">
        <f>'Resource Plan'!G6*Assumptions!B15</f>
        <v/>
      </c>
      <c r="F9" s="103">
        <f>'Resource Plan'!G7*Assumptions!B16</f>
        <v/>
      </c>
      <c r="G9" s="103">
        <f>'Resource Plan'!G8*Assumptions!B17</f>
        <v/>
      </c>
      <c r="H9" s="103">
        <f>'Resource Plan'!G9*Assumptions!B18</f>
        <v/>
      </c>
      <c r="I9" s="103">
        <f>'Resource Plan'!G10*Assumptions!B19</f>
        <v/>
      </c>
      <c r="J9" s="103">
        <f>'Resource Plan'!G11*Assumptions!B20</f>
        <v/>
      </c>
      <c r="K9" s="97">
        <f>SUM(C9:J9)</f>
        <v/>
      </c>
      <c r="L9" s="98">
        <f>L8+K9</f>
        <v/>
      </c>
      <c r="M9" s="99">
        <f>K9*(1+Assumptions!B25)</f>
        <v/>
      </c>
      <c r="N9" s="100">
        <f>N8+M9</f>
        <v/>
      </c>
    </row>
    <row r="10" ht="20" customHeight="1">
      <c r="A10" s="104" t="inlineStr">
        <is>
          <t>Wk 7</t>
        </is>
      </c>
      <c r="B10" s="105" t="inlineStr">
        <is>
          <t>Phase 3: Feature Completion</t>
        </is>
      </c>
      <c r="C10" s="106">
        <f>'Resource Plan'!H4*Assumptions!B13</f>
        <v/>
      </c>
      <c r="D10" s="106">
        <f>'Resource Plan'!H5*Assumptions!B14</f>
        <v/>
      </c>
      <c r="E10" s="106">
        <f>'Resource Plan'!H6*Assumptions!B15</f>
        <v/>
      </c>
      <c r="F10" s="106">
        <f>'Resource Plan'!H7*Assumptions!B16</f>
        <v/>
      </c>
      <c r="G10" s="106">
        <f>'Resource Plan'!H8*Assumptions!B17</f>
        <v/>
      </c>
      <c r="H10" s="106">
        <f>'Resource Plan'!H9*Assumptions!B18</f>
        <v/>
      </c>
      <c r="I10" s="106">
        <f>'Resource Plan'!H10*Assumptions!B19</f>
        <v/>
      </c>
      <c r="J10" s="106">
        <f>'Resource Plan'!H11*Assumptions!B20</f>
        <v/>
      </c>
      <c r="K10" s="97">
        <f>SUM(C10:J10)</f>
        <v/>
      </c>
      <c r="L10" s="98">
        <f>L9+K10</f>
        <v/>
      </c>
      <c r="M10" s="99">
        <f>K10*(1+Assumptions!B25)</f>
        <v/>
      </c>
      <c r="N10" s="100">
        <f>N9+M10</f>
        <v/>
      </c>
    </row>
    <row r="11" ht="20" customHeight="1">
      <c r="A11" s="104" t="inlineStr">
        <is>
          <t>Wk 8</t>
        </is>
      </c>
      <c r="B11" s="105" t="inlineStr">
        <is>
          <t>Phase 3: Feature Completion</t>
        </is>
      </c>
      <c r="C11" s="106">
        <f>'Resource Plan'!I4*Assumptions!B13</f>
        <v/>
      </c>
      <c r="D11" s="106">
        <f>'Resource Plan'!I5*Assumptions!B14</f>
        <v/>
      </c>
      <c r="E11" s="106">
        <f>'Resource Plan'!I6*Assumptions!B15</f>
        <v/>
      </c>
      <c r="F11" s="106">
        <f>'Resource Plan'!I7*Assumptions!B16</f>
        <v/>
      </c>
      <c r="G11" s="106">
        <f>'Resource Plan'!I8*Assumptions!B17</f>
        <v/>
      </c>
      <c r="H11" s="106">
        <f>'Resource Plan'!I9*Assumptions!B18</f>
        <v/>
      </c>
      <c r="I11" s="106">
        <f>'Resource Plan'!I10*Assumptions!B19</f>
        <v/>
      </c>
      <c r="J11" s="106">
        <f>'Resource Plan'!I11*Assumptions!B20</f>
        <v/>
      </c>
      <c r="K11" s="97">
        <f>SUM(C11:J11)</f>
        <v/>
      </c>
      <c r="L11" s="98">
        <f>L10+K11</f>
        <v/>
      </c>
      <c r="M11" s="99">
        <f>K11*(1+Assumptions!B25)</f>
        <v/>
      </c>
      <c r="N11" s="100">
        <f>N10+M11</f>
        <v/>
      </c>
    </row>
    <row r="12" ht="20" customHeight="1">
      <c r="A12" s="107" t="inlineStr">
        <is>
          <t>Wk 9</t>
        </is>
      </c>
      <c r="B12" s="108" t="inlineStr">
        <is>
          <t>Phase 4: QA, UAT &amp; Launch</t>
        </is>
      </c>
      <c r="C12" s="109">
        <f>'Resource Plan'!J4*Assumptions!B13</f>
        <v/>
      </c>
      <c r="D12" s="109">
        <f>'Resource Plan'!J5*Assumptions!B14</f>
        <v/>
      </c>
      <c r="E12" s="109">
        <f>'Resource Plan'!J6*Assumptions!B15</f>
        <v/>
      </c>
      <c r="F12" s="109">
        <f>'Resource Plan'!J7*Assumptions!B16</f>
        <v/>
      </c>
      <c r="G12" s="109">
        <f>'Resource Plan'!J8*Assumptions!B17</f>
        <v/>
      </c>
      <c r="H12" s="109">
        <f>'Resource Plan'!J9*Assumptions!B18</f>
        <v/>
      </c>
      <c r="I12" s="109">
        <f>'Resource Plan'!J10*Assumptions!B19</f>
        <v/>
      </c>
      <c r="J12" s="109">
        <f>'Resource Plan'!J11*Assumptions!B20</f>
        <v/>
      </c>
      <c r="K12" s="97">
        <f>SUM(C12:J12)</f>
        <v/>
      </c>
      <c r="L12" s="98">
        <f>L11+K12</f>
        <v/>
      </c>
      <c r="M12" s="99">
        <f>K12*(1+Assumptions!B25)</f>
        <v/>
      </c>
      <c r="N12" s="100">
        <f>N11+M12</f>
        <v/>
      </c>
    </row>
    <row r="13" ht="20" customHeight="1">
      <c r="A13" s="107" t="inlineStr">
        <is>
          <t>Wk 10</t>
        </is>
      </c>
      <c r="B13" s="108" t="inlineStr">
        <is>
          <t>Phase 4: QA, UAT &amp; Launch</t>
        </is>
      </c>
      <c r="C13" s="109">
        <f>'Resource Plan'!K4*Assumptions!B13</f>
        <v/>
      </c>
      <c r="D13" s="109">
        <f>'Resource Plan'!K5*Assumptions!B14</f>
        <v/>
      </c>
      <c r="E13" s="109">
        <f>'Resource Plan'!K6*Assumptions!B15</f>
        <v/>
      </c>
      <c r="F13" s="109">
        <f>'Resource Plan'!K7*Assumptions!B16</f>
        <v/>
      </c>
      <c r="G13" s="109">
        <f>'Resource Plan'!K8*Assumptions!B17</f>
        <v/>
      </c>
      <c r="H13" s="109">
        <f>'Resource Plan'!K9*Assumptions!B18</f>
        <v/>
      </c>
      <c r="I13" s="109">
        <f>'Resource Plan'!K10*Assumptions!B19</f>
        <v/>
      </c>
      <c r="J13" s="109">
        <f>'Resource Plan'!K11*Assumptions!B20</f>
        <v/>
      </c>
      <c r="K13" s="97">
        <f>SUM(C13:J13)</f>
        <v/>
      </c>
      <c r="L13" s="98">
        <f>L12+K13</f>
        <v/>
      </c>
      <c r="M13" s="99">
        <f>K13*(1+Assumptions!B25)</f>
        <v/>
      </c>
      <c r="N13" s="100">
        <f>N12+M13</f>
        <v/>
      </c>
    </row>
    <row r="14" ht="20" customHeight="1">
      <c r="A14" s="110" t="inlineStr">
        <is>
          <t>HC-Wk1</t>
        </is>
      </c>
      <c r="B14" s="111" t="inlineStr">
        <is>
          <t>Hypercare (Free — 30 days)</t>
        </is>
      </c>
      <c r="C14" s="112">
        <f>'Resource Plan'!L4*Assumptions!B13</f>
        <v/>
      </c>
      <c r="D14" s="112">
        <f>'Resource Plan'!L5*Assumptions!B14</f>
        <v/>
      </c>
      <c r="E14" s="112">
        <f>'Resource Plan'!L6*Assumptions!B15</f>
        <v/>
      </c>
      <c r="F14" s="112">
        <f>'Resource Plan'!L7*Assumptions!B16</f>
        <v/>
      </c>
      <c r="G14" s="112">
        <f>'Resource Plan'!L8*Assumptions!B17</f>
        <v/>
      </c>
      <c r="H14" s="112">
        <f>'Resource Plan'!L9*Assumptions!B18</f>
        <v/>
      </c>
      <c r="I14" s="112">
        <f>'Resource Plan'!L10*Assumptions!B19</f>
        <v/>
      </c>
      <c r="J14" s="112">
        <f>'Resource Plan'!L11*Assumptions!B20</f>
        <v/>
      </c>
      <c r="K14" s="97">
        <f>SUM(C14:J14)</f>
        <v/>
      </c>
      <c r="L14" s="98">
        <f>L13+K14</f>
        <v/>
      </c>
      <c r="M14" s="99">
        <f>K14*(1+Assumptions!B25)</f>
        <v/>
      </c>
      <c r="N14" s="100">
        <f>N13+M14</f>
        <v/>
      </c>
    </row>
    <row r="15" ht="20" customHeight="1">
      <c r="A15" s="110" t="inlineStr">
        <is>
          <t>HC-Wk2</t>
        </is>
      </c>
      <c r="B15" s="111" t="inlineStr">
        <is>
          <t>Hypercare (Free — 30 days)</t>
        </is>
      </c>
      <c r="C15" s="112">
        <f>'Resource Plan'!M4*Assumptions!B13</f>
        <v/>
      </c>
      <c r="D15" s="112">
        <f>'Resource Plan'!M5*Assumptions!B14</f>
        <v/>
      </c>
      <c r="E15" s="112">
        <f>'Resource Plan'!M6*Assumptions!B15</f>
        <v/>
      </c>
      <c r="F15" s="112">
        <f>'Resource Plan'!M7*Assumptions!B16</f>
        <v/>
      </c>
      <c r="G15" s="112">
        <f>'Resource Plan'!M8*Assumptions!B17</f>
        <v/>
      </c>
      <c r="H15" s="112">
        <f>'Resource Plan'!M9*Assumptions!B18</f>
        <v/>
      </c>
      <c r="I15" s="112">
        <f>'Resource Plan'!M10*Assumptions!B19</f>
        <v/>
      </c>
      <c r="J15" s="112">
        <f>'Resource Plan'!M11*Assumptions!B20</f>
        <v/>
      </c>
      <c r="K15" s="97">
        <f>SUM(C15:J15)</f>
        <v/>
      </c>
      <c r="L15" s="98">
        <f>L14+K15</f>
        <v/>
      </c>
      <c r="M15" s="99">
        <f>K15*(1+Assumptions!B25)</f>
        <v/>
      </c>
      <c r="N15" s="100">
        <f>N14+M15</f>
        <v/>
      </c>
    </row>
    <row r="16" ht="24" customHeight="1">
      <c r="A16" s="113" t="inlineStr">
        <is>
          <t>TOTAL</t>
        </is>
      </c>
      <c r="B16" s="75" t="n"/>
      <c r="C16" s="114">
        <f>SUM(C4:C15)</f>
        <v/>
      </c>
      <c r="D16" s="114">
        <f>SUM(D4:D15)</f>
        <v/>
      </c>
      <c r="E16" s="114">
        <f>SUM(E4:E15)</f>
        <v/>
      </c>
      <c r="F16" s="114">
        <f>SUM(F4:F15)</f>
        <v/>
      </c>
      <c r="G16" s="114">
        <f>SUM(G4:G15)</f>
        <v/>
      </c>
      <c r="H16" s="114">
        <f>SUM(H4:H15)</f>
        <v/>
      </c>
      <c r="I16" s="114">
        <f>SUM(I4:I15)</f>
        <v/>
      </c>
      <c r="J16" s="114">
        <f>SUM(J4:J15)</f>
        <v/>
      </c>
      <c r="K16" s="114">
        <f>SUM(K4:K15)</f>
        <v/>
      </c>
      <c r="L16" s="115">
        <f>L15</f>
        <v/>
      </c>
      <c r="M16" s="114">
        <f>SUM(M4:M15)</f>
        <v/>
      </c>
      <c r="N16" s="115">
        <f>N15</f>
        <v/>
      </c>
    </row>
    <row r="17" ht="8" customHeight="1"/>
    <row r="18" ht="22" customHeight="1">
      <c r="A18" s="4" t="inlineStr">
        <is>
          <t xml:space="preserve">  COST SUMMARY BY PHASE  (10-Week + Hypercare Model)</t>
        </is>
      </c>
    </row>
    <row r="19" ht="18" customHeight="1">
      <c r="A19" s="43" t="inlineStr">
        <is>
          <t>Phase</t>
        </is>
      </c>
      <c r="B19" s="43" t="inlineStr">
        <is>
          <t>Weeks</t>
        </is>
      </c>
      <c r="C19" s="43" t="inlineStr">
        <is>
          <t>Team-Days</t>
        </is>
      </c>
      <c r="D19" s="43" t="inlineStr">
        <is>
          <t>Cost (₹)</t>
        </is>
      </c>
      <c r="E19" s="43" t="inlineStr">
        <is>
          <t>Selling Price (₹)</t>
        </is>
      </c>
      <c r="F19" s="43" t="inlineStr">
        <is>
          <t>% of Total</t>
        </is>
      </c>
    </row>
    <row r="20" ht="18" customHeight="1">
      <c r="A20" s="44" t="inlineStr">
        <is>
          <t>Phase 1: Discovery &amp; Config</t>
        </is>
      </c>
      <c r="B20" s="45" t="inlineStr">
        <is>
          <t>Wks 1–2</t>
        </is>
      </c>
      <c r="C20" s="65">
        <f>SUM('Resource Plan'!B12:C12)</f>
        <v/>
      </c>
      <c r="D20" s="88">
        <f>SUM(K4:K5)</f>
        <v/>
      </c>
      <c r="E20" s="89">
        <f>SUM(M4:M5)</f>
        <v/>
      </c>
      <c r="F20" s="47">
        <f>IFERROR(E20/E25,"-")</f>
        <v/>
      </c>
    </row>
    <row r="21" ht="18" customHeight="1">
      <c r="A21" s="50" t="inlineStr">
        <is>
          <t>Phase 2: Core Customisation</t>
        </is>
      </c>
      <c r="B21" s="51" t="inlineStr">
        <is>
          <t>Wks 3–6</t>
        </is>
      </c>
      <c r="C21" s="71">
        <f>SUM('Resource Plan'!D12:G12)</f>
        <v/>
      </c>
      <c r="D21" s="90">
        <f>SUM(K6:K9)</f>
        <v/>
      </c>
      <c r="E21" s="91">
        <f>SUM(M6:M9)</f>
        <v/>
      </c>
      <c r="F21" s="53">
        <f>IFERROR(E21/E25,"-")</f>
        <v/>
      </c>
    </row>
    <row r="22" ht="18" customHeight="1">
      <c r="A22" s="44" t="inlineStr">
        <is>
          <t>Phase 3: Feature Completion</t>
        </is>
      </c>
      <c r="B22" s="45" t="inlineStr">
        <is>
          <t>Wks 7–8</t>
        </is>
      </c>
      <c r="C22" s="65">
        <f>SUM('Resource Plan'!H12:I12)</f>
        <v/>
      </c>
      <c r="D22" s="88">
        <f>SUM(K10:K11)</f>
        <v/>
      </c>
      <c r="E22" s="89">
        <f>SUM(M10:M11)</f>
        <v/>
      </c>
      <c r="F22" s="47">
        <f>IFERROR(E22/E25,"-")</f>
        <v/>
      </c>
    </row>
    <row r="23" ht="18" customHeight="1">
      <c r="A23" s="50" t="inlineStr">
        <is>
          <t>Phase 4: QA, UAT &amp; Launch</t>
        </is>
      </c>
      <c r="B23" s="51" t="inlineStr">
        <is>
          <t>Wks 9–10</t>
        </is>
      </c>
      <c r="C23" s="71">
        <f>SUM('Resource Plan'!J12:K12)</f>
        <v/>
      </c>
      <c r="D23" s="90">
        <f>SUM(K12:K13)</f>
        <v/>
      </c>
      <c r="E23" s="91">
        <f>SUM(M12:M13)</f>
        <v/>
      </c>
      <c r="F23" s="53">
        <f>IFERROR(E23/E25,"-")</f>
        <v/>
      </c>
    </row>
    <row r="24" ht="18" customHeight="1">
      <c r="A24" s="44" t="inlineStr">
        <is>
          <t>Hypercare (Free — 30 days)</t>
        </is>
      </c>
      <c r="B24" s="45" t="inlineStr">
        <is>
          <t>HC 1–2</t>
        </is>
      </c>
      <c r="C24" s="65">
        <f>SUM('Resource Plan'!L12:M12)</f>
        <v/>
      </c>
      <c r="D24" s="88">
        <f>SUM(K14:K15)</f>
        <v/>
      </c>
      <c r="E24" s="89">
        <f>SUM(M14:M15)</f>
        <v/>
      </c>
      <c r="F24" s="47">
        <f>IFERROR(E24/E25,"-")</f>
        <v/>
      </c>
    </row>
    <row r="25" ht="18" customHeight="1">
      <c r="A25" s="56" t="inlineStr">
        <is>
          <t>TOTAL</t>
        </is>
      </c>
      <c r="B25" s="57" t="inlineStr">
        <is>
          <t>12 wks</t>
        </is>
      </c>
      <c r="C25" s="58">
        <f>SUM('Resource Plan'!B12:M12)</f>
        <v/>
      </c>
      <c r="D25" s="92">
        <f>SUM(K4:K15)</f>
        <v/>
      </c>
      <c r="E25" s="93">
        <f>SUM(M4:M15)</f>
        <v/>
      </c>
      <c r="F25" s="59">
        <f>IFERROR(E25/E25,"-")</f>
        <v/>
      </c>
    </row>
  </sheetData>
  <mergeCells count="3">
    <mergeCell ref="A18:N18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6" customWidth="1" min="5" max="5"/>
  </cols>
  <sheetData>
    <row r="1" ht="44" customHeight="1">
      <c r="A1" s="116" t="inlineStr">
        <is>
          <t>ANM Community App — Annual Maintenance Contract (AMC) Options | Post Go-Live | INR</t>
        </is>
      </c>
    </row>
    <row r="2" ht="14" customHeight="1">
      <c r="A2" s="117" t="inlineStr">
        <is>
          <t>Choose an AMC tier based on desired SLA, feature development needs, and budget. AMC pricing is per month and billed quarterly.</t>
        </is>
      </c>
    </row>
    <row r="4" ht="22" customHeight="1">
      <c r="A4" s="118" t="inlineStr">
        <is>
          <t>Feature / Parameter</t>
        </is>
      </c>
      <c r="B4" s="118" t="inlineStr">
        <is>
          <t>Basic</t>
        </is>
      </c>
      <c r="C4" s="119" t="inlineStr">
        <is>
          <t>⭐ Standard (Recommended)</t>
        </is>
      </c>
      <c r="D4" s="118" t="inlineStr">
        <is>
          <t>Premium</t>
        </is>
      </c>
      <c r="E4" s="118" t="inlineStr">
        <is>
          <t>Notes</t>
        </is>
      </c>
    </row>
    <row r="5" ht="30" customHeight="1">
      <c r="A5" s="120" t="inlineStr">
        <is>
          <t>Monthly Price (₹)</t>
        </is>
      </c>
      <c r="B5" s="121" t="n">
        <v>15000</v>
      </c>
      <c r="C5" s="122" t="n">
        <v>25000</v>
      </c>
      <c r="D5" s="123" t="n">
        <v>40000</v>
      </c>
      <c r="E5" s="38" t="inlineStr">
        <is>
          <t>Billed quarterly in advance</t>
        </is>
      </c>
    </row>
    <row r="6" ht="20" customHeight="1">
      <c r="A6" s="124" t="inlineStr">
        <is>
          <t>Annual Cost (₹)</t>
        </is>
      </c>
      <c r="B6" s="125">
        <f>B5*12</f>
        <v/>
      </c>
      <c r="C6" s="125">
        <f>C5*12</f>
        <v/>
      </c>
      <c r="D6" s="125">
        <f>D5*12</f>
        <v/>
      </c>
    </row>
    <row r="8" ht="18" customHeight="1">
      <c r="A8" s="126" t="inlineStr">
        <is>
          <t>Bug Fixes &amp; Patches</t>
        </is>
      </c>
      <c r="B8" s="127" t="inlineStr">
        <is>
          <t>Included</t>
        </is>
      </c>
      <c r="C8" s="128" t="inlineStr">
        <is>
          <t>Included</t>
        </is>
      </c>
      <c r="D8" s="129" t="inlineStr">
        <is>
          <t>Included</t>
        </is>
      </c>
      <c r="E8" s="130" t="inlineStr">
        <is>
          <t>OS &amp; device compatibility + security patches</t>
        </is>
      </c>
    </row>
    <row r="9" ht="18" customHeight="1">
      <c r="A9" s="131" t="inlineStr">
        <is>
          <t>Monthly Health Check Report</t>
        </is>
      </c>
      <c r="B9" s="132" t="inlineStr">
        <is>
          <t>Included</t>
        </is>
      </c>
      <c r="C9" s="128" t="inlineStr">
        <is>
          <t>Included</t>
        </is>
      </c>
      <c r="D9" s="133" t="inlineStr">
        <is>
          <t>Included</t>
        </is>
      </c>
      <c r="E9" s="134" t="inlineStr">
        <is>
          <t>Performance, uptime, DB metrics report</t>
        </is>
      </c>
    </row>
    <row r="10" ht="18" customHeight="1">
      <c r="A10" s="126" t="inlineStr">
        <is>
          <t>Response SLA</t>
        </is>
      </c>
      <c r="B10" s="127" t="inlineStr">
        <is>
          <t>48 hours</t>
        </is>
      </c>
      <c r="C10" s="128" t="inlineStr">
        <is>
          <t>8 hours</t>
        </is>
      </c>
      <c r="D10" s="129" t="inlineStr">
        <is>
          <t>2 hours</t>
        </is>
      </c>
      <c r="E10" s="130" t="inlineStr">
        <is>
          <t>From ticket raised to first response</t>
        </is>
      </c>
    </row>
    <row r="11" ht="18" customHeight="1">
      <c r="A11" s="131" t="inlineStr">
        <is>
          <t>Resolution SLA (critical bugs)</t>
        </is>
      </c>
      <c r="B11" s="132" t="inlineStr">
        <is>
          <t>5 business days</t>
        </is>
      </c>
      <c r="C11" s="128" t="inlineStr">
        <is>
          <t>2 business days</t>
        </is>
      </c>
      <c r="D11" s="133" t="inlineStr">
        <is>
          <t>Next business day</t>
        </is>
      </c>
      <c r="E11" s="134" t="inlineStr">
        <is>
          <t>P1 critical issue resolution</t>
        </is>
      </c>
    </row>
    <row r="12" ht="18" customHeight="1">
      <c r="A12" s="126" t="inlineStr">
        <is>
          <t>Minor UI/UX Enhancements</t>
        </is>
      </c>
      <c r="B12" s="8" t="inlineStr">
        <is>
          <t>–</t>
        </is>
      </c>
      <c r="C12" s="128" t="inlineStr">
        <is>
          <t>2 per quarter</t>
        </is>
      </c>
      <c r="D12" s="129" t="inlineStr">
        <is>
          <t>Unlimited*</t>
        </is>
      </c>
      <c r="E12" s="130" t="inlineStr">
        <is>
          <t>*Subject to 4h/month cap for Standard</t>
        </is>
      </c>
    </row>
    <row r="13" ht="18" customHeight="1">
      <c r="A13" s="131" t="inlineStr">
        <is>
          <t>Feature Development (hours/mo)</t>
        </is>
      </c>
      <c r="B13" s="132" t="inlineStr">
        <is>
          <t>0 hours</t>
        </is>
      </c>
      <c r="C13" s="128" t="inlineStr">
        <is>
          <t>8 hours</t>
        </is>
      </c>
      <c r="D13" s="133" t="inlineStr">
        <is>
          <t>20 hours</t>
        </is>
      </c>
      <c r="E13" s="134" t="inlineStr">
        <is>
          <t>Pre-agreed scope; billed additionally beyond cap</t>
        </is>
      </c>
    </row>
    <row r="14" ht="18" customHeight="1">
      <c r="A14" s="126" t="inlineStr">
        <is>
          <t>AWS Cost Optimisation Review</t>
        </is>
      </c>
      <c r="B14" s="8" t="inlineStr">
        <is>
          <t>–</t>
        </is>
      </c>
      <c r="C14" s="128" t="inlineStr">
        <is>
          <t>Quarterly</t>
        </is>
      </c>
      <c r="D14" s="129" t="inlineStr">
        <is>
          <t>Monthly</t>
        </is>
      </c>
      <c r="E14" s="130" t="inlineStr">
        <is>
          <t>RDS, ECS, S3 cost right-sizing</t>
        </is>
      </c>
    </row>
    <row r="15" ht="18" customHeight="1">
      <c r="A15" s="131" t="inlineStr">
        <is>
          <t>Dedicated Support Manager</t>
        </is>
      </c>
      <c r="B15" s="12" t="inlineStr">
        <is>
          <t>–</t>
        </is>
      </c>
      <c r="C15" s="135" t="inlineStr">
        <is>
          <t>–</t>
        </is>
      </c>
      <c r="D15" s="133" t="inlineStr">
        <is>
          <t>Included</t>
        </is>
      </c>
      <c r="E15" s="134" t="inlineStr">
        <is>
          <t>Named contact for all support escalations</t>
        </is>
      </c>
    </row>
    <row r="16" ht="18" customHeight="1">
      <c r="A16" s="126" t="inlineStr">
        <is>
          <t>Priority Queue</t>
        </is>
      </c>
      <c r="B16" s="8" t="inlineStr">
        <is>
          <t>–</t>
        </is>
      </c>
      <c r="C16" s="128" t="inlineStr">
        <is>
          <t>Yes</t>
        </is>
      </c>
      <c r="D16" s="129" t="inlineStr">
        <is>
          <t>Yes (highest)</t>
        </is>
      </c>
      <c r="E16" s="130" t="inlineStr">
        <is>
          <t>Tickets prioritised above non-AMC clients</t>
        </is>
      </c>
    </row>
    <row r="17" ht="18" customHeight="1">
      <c r="A17" s="131" t="inlineStr">
        <is>
          <t>App Store Update Submissions</t>
        </is>
      </c>
      <c r="B17" s="132" t="inlineStr">
        <is>
          <t>1 per quarter</t>
        </is>
      </c>
      <c r="C17" s="128" t="inlineStr">
        <is>
          <t>2 per quarter</t>
        </is>
      </c>
      <c r="D17" s="133" t="inlineStr">
        <is>
          <t>Unlimited</t>
        </is>
      </c>
      <c r="E17" s="134" t="inlineStr">
        <is>
          <t>Binary + metadata updates to Apple &amp; Google</t>
        </is>
      </c>
    </row>
    <row r="18" ht="18" customHeight="1">
      <c r="A18" s="126" t="inlineStr">
        <is>
          <t>Database Backup Verification</t>
        </is>
      </c>
      <c r="B18" s="127" t="inlineStr">
        <is>
          <t>Monthly</t>
        </is>
      </c>
      <c r="C18" s="128" t="inlineStr">
        <is>
          <t>Weekly</t>
        </is>
      </c>
      <c r="D18" s="129" t="inlineStr">
        <is>
          <t>Daily</t>
        </is>
      </c>
      <c r="E18" s="130" t="inlineStr">
        <is>
          <t>RDS automated backup restore test</t>
        </is>
      </c>
    </row>
    <row r="19" ht="18" customHeight="1">
      <c r="A19" s="131" t="inlineStr">
        <is>
          <t>Uptime SLA</t>
        </is>
      </c>
      <c r="B19" s="12" t="inlineStr">
        <is>
          <t>–</t>
        </is>
      </c>
      <c r="C19" s="128" t="inlineStr">
        <is>
          <t>99.5%</t>
        </is>
      </c>
      <c r="D19" s="133" t="inlineStr">
        <is>
          <t>99.9%</t>
        </is>
      </c>
      <c r="E19" s="134" t="inlineStr">
        <is>
          <t>Based on AWS CloudWatch metrics</t>
        </is>
      </c>
    </row>
    <row r="20" ht="18" customHeight="1">
      <c r="A20" s="126" t="inlineStr">
        <is>
          <t>Quarterly Business Review</t>
        </is>
      </c>
      <c r="B20" s="8" t="inlineStr">
        <is>
          <t>–</t>
        </is>
      </c>
      <c r="C20" s="128" t="inlineStr">
        <is>
          <t>Included</t>
        </is>
      </c>
      <c r="D20" s="129" t="inlineStr">
        <is>
          <t>Included</t>
        </is>
      </c>
      <c r="E20" s="130" t="inlineStr">
        <is>
          <t>30-min roadmap + usage + cost review call</t>
        </is>
      </c>
    </row>
    <row r="21" ht="18" customHeight="1">
      <c r="A21" s="131" t="inlineStr">
        <is>
          <t>Phase 2 Feature Backlog Grooming</t>
        </is>
      </c>
      <c r="B21" s="12" t="inlineStr">
        <is>
          <t>–</t>
        </is>
      </c>
      <c r="C21" s="135" t="inlineStr">
        <is>
          <t>–</t>
        </is>
      </c>
      <c r="D21" s="133" t="inlineStr">
        <is>
          <t>Included</t>
        </is>
      </c>
      <c r="E21" s="134" t="inlineStr">
        <is>
          <t>Monthly 1h session to refine enhancement backlog</t>
        </is>
      </c>
    </row>
    <row r="23" ht="8" customHeight="1"/>
    <row r="24" ht="20" customHeight="1">
      <c r="A24" s="86" t="inlineStr">
        <is>
          <t>⚠️  AMC begins after the 30-day free Hypercare period. All AMC tiers include Twilio &amp; Firebase config updates. AWS costs are pass-through (billed separately).</t>
        </is>
      </c>
    </row>
  </sheetData>
  <mergeCells count="3">
    <mergeCell ref="A2:E2"/>
    <mergeCell ref="A1:E1"/>
    <mergeCell ref="A24:E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4" customWidth="1" min="4" max="4"/>
    <col width="34" customWidth="1" min="5" max="5"/>
  </cols>
  <sheetData>
    <row r="1" ht="44" customHeight="1">
      <c r="A1" s="116" t="inlineStr">
        <is>
          <t>ANM Community App — Monthly Platform &amp; Infrastructure Costs | Client-Borne | INR</t>
        </is>
      </c>
    </row>
    <row r="2" ht="14" customHeight="1">
      <c r="A2" s="117" t="inlineStr">
        <is>
          <t>These costs are client-borne and billed directly by AWS / Twilio / Firebase. They are OVER AND ABOVE the implementation fee. Exchange rate basis: 1 USD ≈ ₹84. Sized for 100,000 church members.</t>
        </is>
      </c>
    </row>
    <row r="4" ht="22" customHeight="1">
      <c r="A4" s="136" t="inlineStr">
        <is>
          <t xml:space="preserve">  AWS — Compute &amp; Database</t>
        </is>
      </c>
    </row>
    <row r="5" ht="18" customHeight="1">
      <c r="A5" s="5" t="inlineStr">
        <is>
          <t>Service / Resource</t>
        </is>
      </c>
      <c r="B5" s="5" t="inlineStr">
        <is>
          <t>Cost Low (₹)</t>
        </is>
      </c>
      <c r="C5" s="5" t="inlineStr">
        <is>
          <t>Cost High (₹)</t>
        </is>
      </c>
      <c r="D5" s="5" t="inlineStr">
        <is>
          <t>Frequency</t>
        </is>
      </c>
      <c r="E5" s="5" t="inlineStr">
        <is>
          <t>Notes</t>
        </is>
      </c>
    </row>
    <row r="6" ht="18" customHeight="1">
      <c r="A6" s="137" t="inlineStr">
        <is>
          <t>AWS RDS PostgreSQL 16  (db.r6g.large, Multi-AZ, 500 GB gp3)</t>
        </is>
      </c>
      <c r="B6" s="7" t="n">
        <v>30000</v>
      </c>
      <c r="C6" s="7" t="n">
        <v>30000</v>
      </c>
      <c r="D6" s="8" t="inlineStr">
        <is>
          <t>Monthly</t>
        </is>
      </c>
      <c r="E6" s="130" t="inlineStr">
        <is>
          <t>Upgraded from t4g.medium — 2 vCPU, 16 GB RAM required at 100K member scale</t>
        </is>
      </c>
    </row>
    <row r="7" ht="18" customHeight="1">
      <c r="A7" s="138" t="inlineStr">
        <is>
          <t>AWS ECS Fargate  (4 baseline tasks / 2 vCPU / 4 GB, scales to 15)</t>
        </is>
      </c>
      <c r="B7" s="11" t="n">
        <v>28000</v>
      </c>
      <c r="C7" s="11" t="n">
        <v>45000</v>
      </c>
      <c r="D7" s="12" t="inlineStr">
        <is>
          <t>Monthly</t>
        </is>
      </c>
      <c r="E7" s="134" t="inlineStr">
        <is>
          <t>.NET 8 containers; auto-scale 4–15 tasks; avg 5–8 tasks in practice</t>
        </is>
      </c>
    </row>
    <row r="8" ht="18" customHeight="1">
      <c r="A8" s="137" t="inlineStr">
        <is>
          <t>AWS S3 + CloudFront CDN  (1 TB storage + 3–7 TB egress/mo)</t>
        </is>
      </c>
      <c r="B8" s="7" t="n">
        <v>20000</v>
      </c>
      <c r="C8" s="7" t="n">
        <v>40000</v>
      </c>
      <c r="D8" s="8" t="inlineStr">
        <is>
          <t>Monthly</t>
        </is>
      </c>
      <c r="E8" s="130" t="inlineStr">
        <is>
          <t>Video library; 100K members watching sermons = 3–7 TB CDN egress/mo</t>
        </is>
      </c>
    </row>
    <row r="9" ht="18" customHeight="1">
      <c r="A9" s="138" t="inlineStr">
        <is>
          <t>AWS CloudWatch + X-Ray  (metrics, traces, logs)</t>
        </is>
      </c>
      <c r="B9" s="11" t="n">
        <v>3500</v>
      </c>
      <c r="C9" s="11" t="n">
        <v>5000</v>
      </c>
      <c r="D9" s="12" t="inlineStr">
        <is>
          <t>Monthly</t>
        </is>
      </c>
      <c r="E9" s="134" t="inlineStr">
        <is>
          <t>Monitoring, alerting, distributed tracing — higher volume at 100K scale</t>
        </is>
      </c>
    </row>
    <row r="10" ht="18" customHeight="1">
      <c r="A10" s="137" t="inlineStr">
        <is>
          <t>AWS ALB + WAF  (managed rule groups, ~10M req/mo)</t>
        </is>
      </c>
      <c r="B10" s="7" t="n">
        <v>4500</v>
      </c>
      <c r="C10" s="7" t="n">
        <v>6000</v>
      </c>
      <c r="D10" s="8" t="inlineStr">
        <is>
          <t>Monthly</t>
        </is>
      </c>
      <c r="E10" s="130" t="inlineStr">
        <is>
          <t>WAF managed rules ($20/mo extra) + more LCUs at higher traffic</t>
        </is>
      </c>
    </row>
    <row r="11" ht="18" customHeight="1">
      <c r="A11" s="138" t="inlineStr">
        <is>
          <t>AWS Route 53  (DNS hosting + health checks)</t>
        </is>
      </c>
      <c r="B11" s="11" t="n">
        <v>500</v>
      </c>
      <c r="C11" s="11" t="n">
        <v>500</v>
      </c>
      <c r="D11" s="12" t="inlineStr">
        <is>
          <t>Monthly</t>
        </is>
      </c>
      <c r="E11" s="134" t="inlineStr">
        <is>
          <t>SSL via ACM (free) + DNS zone + health check routing</t>
        </is>
      </c>
    </row>
    <row r="12" ht="18" customHeight="1">
      <c r="A12" s="137" t="inlineStr">
        <is>
          <t>AWS ElastiCache Redis  (cache.t3.small, 2-node HA cluster)</t>
        </is>
      </c>
      <c r="B12" s="7" t="n">
        <v>4200</v>
      </c>
      <c r="C12" s="7" t="n">
        <v>4200</v>
      </c>
      <c r="D12" s="8" t="inlineStr">
        <is>
          <t>Monthly</t>
        </is>
      </c>
      <c r="E12" s="130" t="inlineStr">
        <is>
          <t>NEW at 100K — session cache, query cache, rate-limit counters; essential for performance</t>
        </is>
      </c>
    </row>
    <row r="13" ht="18" customHeight="1">
      <c r="A13" s="138" t="inlineStr">
        <is>
          <t>AWS NAT Gateway  (private subnet for ECS tasks)</t>
        </is>
      </c>
      <c r="B13" s="11" t="n">
        <v>3000</v>
      </c>
      <c r="C13" s="11" t="n">
        <v>4500</v>
      </c>
      <c r="D13" s="12" t="inlineStr">
        <is>
          <t>Monthly</t>
        </is>
      </c>
      <c r="E13" s="134" t="inlineStr">
        <is>
          <t>NEW — required for ECS in private VPC subnet; ~50–100 GB data processed/mo</t>
        </is>
      </c>
    </row>
    <row r="14" ht="18" customHeight="1">
      <c r="A14" s="137" t="inlineStr">
        <is>
          <t>AWS SES  (transactional email, est. 50,000 msgs/mo)</t>
        </is>
      </c>
      <c r="B14" s="7" t="n">
        <v>500</v>
      </c>
      <c r="C14" s="7" t="n">
        <v>800</v>
      </c>
      <c r="D14" s="8" t="inlineStr">
        <is>
          <t>Monthly</t>
        </is>
      </c>
      <c r="E14" s="130" t="inlineStr">
        <is>
          <t>Welcome, digest, alerts — $0.10/1,000 emails via SES</t>
        </is>
      </c>
    </row>
    <row r="16" ht="22" customHeight="1">
      <c r="A16" s="139" t="inlineStr">
        <is>
          <t xml:space="preserve">  Twilio — Communications</t>
        </is>
      </c>
    </row>
    <row r="17" ht="18" customHeight="1">
      <c r="A17" s="5" t="inlineStr">
        <is>
          <t>Service / Resource</t>
        </is>
      </c>
      <c r="B17" s="5" t="inlineStr">
        <is>
          <t>Cost Low (₹)</t>
        </is>
      </c>
      <c r="C17" s="5" t="inlineStr">
        <is>
          <t>Cost High (₹)</t>
        </is>
      </c>
      <c r="D17" s="5" t="inlineStr">
        <is>
          <t>Frequency</t>
        </is>
      </c>
      <c r="E17" s="5" t="inlineStr">
        <is>
          <t>Notes</t>
        </is>
      </c>
    </row>
    <row r="18" ht="18" customHeight="1">
      <c r="A18" s="137" t="inlineStr">
        <is>
          <t>Twilio Voice  (in-app VoIP, est. 2,000–5,000 mins/mo)</t>
        </is>
      </c>
      <c r="B18" s="7" t="n">
        <v>8400</v>
      </c>
      <c r="C18" s="7" t="n">
        <v>21000</v>
      </c>
      <c r="D18" s="8" t="inlineStr">
        <is>
          <t>Monthly</t>
        </is>
      </c>
      <c r="E18" s="130" t="inlineStr">
        <is>
          <t>~₹4.2/min; scales with call adoption. 2K min low / 5K min high</t>
        </is>
      </c>
    </row>
    <row r="19" ht="18" customHeight="1">
      <c r="A19" s="138" t="inlineStr">
        <is>
          <t>Twilio SMS  (OTP + notifications, est. 1,500–3,000 msgs/mo)</t>
        </is>
      </c>
      <c r="B19" s="11" t="n">
        <v>7350</v>
      </c>
      <c r="C19" s="11" t="n">
        <v>14700</v>
      </c>
      <c r="D19" s="12" t="inlineStr">
        <is>
          <t>Monthly</t>
        </is>
      </c>
      <c r="E19" s="134" t="inlineStr">
        <is>
          <t>~₹4.9/SMS; India DLT registered; 1,500 low / 3,000 high msgs/mo</t>
        </is>
      </c>
    </row>
    <row r="20" ht="18" customHeight="1">
      <c r="A20" s="137" t="inlineStr">
        <is>
          <t>⚠️ Twilio Conversations  (Chat SDK — 10K–20K active MAU)</t>
        </is>
      </c>
      <c r="B20" s="7" t="n">
        <v>42000</v>
      </c>
      <c r="C20" s="7" t="n">
        <v>84000</v>
      </c>
      <c r="D20" s="8" t="inlineStr">
        <is>
          <t>Monthly</t>
        </is>
      </c>
      <c r="E20" s="130" t="inlineStr">
        <is>
          <t>CRITICAL: $0.05/active chat user/mo. 10% adoption=10K MAU=₹42K; 20%=₹84K. See Scale Scenarios sheet for alternative.</t>
        </is>
      </c>
    </row>
    <row r="22" ht="22" customHeight="1">
      <c r="A22" s="140" t="inlineStr">
        <is>
          <t xml:space="preserve">  Firebase — Auth &amp; Notifications</t>
        </is>
      </c>
    </row>
    <row r="23" ht="18" customHeight="1">
      <c r="A23" s="5" t="inlineStr">
        <is>
          <t>Service / Resource</t>
        </is>
      </c>
      <c r="B23" s="5" t="inlineStr">
        <is>
          <t>Cost Low (₹)</t>
        </is>
      </c>
      <c r="C23" s="5" t="inlineStr">
        <is>
          <t>Cost High (₹)</t>
        </is>
      </c>
      <c r="D23" s="5" t="inlineStr">
        <is>
          <t>Frequency</t>
        </is>
      </c>
      <c r="E23" s="5" t="inlineStr">
        <is>
          <t>Notes</t>
        </is>
      </c>
    </row>
    <row r="24" ht="18" customHeight="1">
      <c r="A24" s="137" t="inlineStr">
        <is>
          <t>Firebase Auth  (email/password + Google OAuth)</t>
        </is>
      </c>
      <c r="B24" s="129" t="inlineStr">
        <is>
          <t>Free</t>
        </is>
      </c>
      <c r="C24" s="129" t="inlineStr">
        <is>
          <t>Free</t>
        </is>
      </c>
      <c r="D24" s="8" t="inlineStr">
        <is>
          <t>Free</t>
        </is>
      </c>
      <c r="E24" s="130" t="inlineStr">
        <is>
          <t>Email/password &amp; Google OAuth: free at any scale — no per-user cost</t>
        </is>
      </c>
    </row>
    <row r="25" ht="18" customHeight="1">
      <c r="A25" s="138" t="inlineStr">
        <is>
          <t>Firebase Auth  (phone OTP — new signups only, ~1,000/mo)</t>
        </is>
      </c>
      <c r="B25" s="11" t="n">
        <v>504</v>
      </c>
      <c r="C25" s="11" t="n">
        <v>1008</v>
      </c>
      <c r="D25" s="12" t="inlineStr">
        <is>
          <t>Monthly</t>
        </is>
      </c>
      <c r="E25" s="134" t="inlineStr">
        <is>
          <t>$0.006/SMS verification; only new monthly sign-ups trigger this cost</t>
        </is>
      </c>
    </row>
    <row r="26" ht="18" customHeight="1">
      <c r="A26" s="137" t="inlineStr">
        <is>
          <t>Firebase FCM Push Notifications</t>
        </is>
      </c>
      <c r="B26" s="129" t="inlineStr">
        <is>
          <t>Free</t>
        </is>
      </c>
      <c r="C26" s="129" t="inlineStr">
        <is>
          <t>Free</t>
        </is>
      </c>
      <c r="D26" s="8" t="inlineStr">
        <is>
          <t>Free</t>
        </is>
      </c>
      <c r="E26" s="130" t="inlineStr">
        <is>
          <t>Unlimited push notifications — no cost regardless of scale</t>
        </is>
      </c>
    </row>
    <row r="27" ht="18" customHeight="1">
      <c r="A27" s="138" t="inlineStr">
        <is>
          <t>Firebase Hosting  (PWA served via CloudFront origin shield)</t>
        </is>
      </c>
      <c r="B27" s="133" t="inlineStr">
        <is>
          <t>Free</t>
        </is>
      </c>
      <c r="C27" s="133" t="inlineStr">
        <is>
          <t>Free</t>
        </is>
      </c>
      <c r="D27" s="12" t="inlineStr">
        <is>
          <t>Free</t>
        </is>
      </c>
      <c r="E27" s="134" t="inlineStr">
        <is>
          <t>CloudFront absorbs egress; Firebase serves minimal traffic to CDN origin</t>
        </is>
      </c>
    </row>
    <row r="29" ht="22" customHeight="1">
      <c r="A29" s="141" t="inlineStr">
        <is>
          <t xml:space="preserve">  App Stores &amp; Third-Party</t>
        </is>
      </c>
    </row>
    <row r="30" ht="18" customHeight="1">
      <c r="A30" s="5" t="inlineStr">
        <is>
          <t>Service / Resource</t>
        </is>
      </c>
      <c r="B30" s="5" t="inlineStr">
        <is>
          <t>Cost Low (₹)</t>
        </is>
      </c>
      <c r="C30" s="5" t="inlineStr">
        <is>
          <t>Cost High (₹)</t>
        </is>
      </c>
      <c r="D30" s="5" t="inlineStr">
        <is>
          <t>Frequency</t>
        </is>
      </c>
      <c r="E30" s="5" t="inlineStr">
        <is>
          <t>Notes</t>
        </is>
      </c>
    </row>
    <row r="31" ht="18" customHeight="1">
      <c r="A31" s="137" t="inlineStr">
        <is>
          <t>Apple Developer Program  (annual — amortised monthly)</t>
        </is>
      </c>
      <c r="B31" s="7" t="n">
        <v>692</v>
      </c>
      <c r="C31" s="7" t="n">
        <v>692</v>
      </c>
      <c r="D31" s="8" t="inlineStr">
        <is>
          <t>Monthly</t>
        </is>
      </c>
      <c r="E31" s="130" t="inlineStr">
        <is>
          <t>₹8,299/yr ÷ 12 = ₹692/mo shown here; billed annually by Apple</t>
        </is>
      </c>
    </row>
    <row r="32" ht="18" customHeight="1">
      <c r="A32" s="138" t="inlineStr">
        <is>
          <t>Google Play Console  (one-time registration)</t>
        </is>
      </c>
      <c r="B32" s="11" t="n">
        <v>2500</v>
      </c>
      <c r="C32" s="11" t="n">
        <v>2500</v>
      </c>
      <c r="D32" s="12" t="inlineStr">
        <is>
          <t>One-time</t>
        </is>
      </c>
      <c r="E32" s="134" t="inlineStr">
        <is>
          <t>₹2,500 one-time; no annual fee</t>
        </is>
      </c>
    </row>
    <row r="33" ht="18" customHeight="1">
      <c r="A33" s="137" t="inlineStr">
        <is>
          <t>Twilio DLT Registration  (India TRAI — one-time)</t>
        </is>
      </c>
      <c r="B33" s="7" t="n">
        <v>7500</v>
      </c>
      <c r="C33" s="7" t="n">
        <v>10000</v>
      </c>
      <c r="D33" s="8" t="inlineStr">
        <is>
          <t>One-time</t>
        </is>
      </c>
      <c r="E33" s="130" t="inlineStr">
        <is>
          <t>Required for transactional SMS in India; process takes 1–2 weeks</t>
        </is>
      </c>
    </row>
    <row r="35" ht="26" customHeight="1">
      <c r="A35" s="142" t="inlineStr">
        <is>
          <t>ESTIMATED TOTAL MONTHLY PLATFORM COST</t>
        </is>
      </c>
      <c r="B35" s="143">
        <f>B6+B7+B8+B9+B10+B11+B12+B13+B14+B18+B19+B20+B25+B31</f>
        <v/>
      </c>
      <c r="C35" s="143">
        <f>C6+C7+C8+C9+C10+C11+C12+C13+C14+C18+C19+C20+C25+C31</f>
        <v/>
      </c>
      <c r="D35" s="77" t="inlineStr">
        <is>
          <t>Monthly</t>
        </is>
      </c>
      <c r="E35" s="144" t="inlineStr">
        <is>
          <t>Monthly recurring only. Excl. one-time fees (Google Play ₹2,500 + Twilio DLT ₹7,500–10,000) + Apple Dev ₹692/mo amortised. See Scale Scenarios sheet.</t>
        </is>
      </c>
    </row>
    <row r="37" ht="20" customHeight="1">
      <c r="A37" s="86" t="inlineStr">
        <is>
          <t>💡  Sized for 100,000 church members (Low = ~15–20% MAU active; High = ~35–40% MAU active). ⚠️  Twilio Conversations at ₹42K–84K/mo is the #1 cost driver — see Scale Scenarios sheet for SignalR alternative (saves ₹42K–84K/mo). AWS costs vary with usage; review quarterly.</t>
        </is>
      </c>
    </row>
  </sheetData>
  <mergeCells count="8">
    <mergeCell ref="A29:E29"/>
    <mergeCell ref="A4:E4"/>
    <mergeCell ref="A35"/>
    <mergeCell ref="A2:E2"/>
    <mergeCell ref="A16:E16"/>
    <mergeCell ref="A1:E1"/>
    <mergeCell ref="A37:E37"/>
    <mergeCell ref="A22:E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32" customWidth="1" min="6" max="6"/>
  </cols>
  <sheetData>
    <row r="1" ht="44" customHeight="1">
      <c r="A1" s="116" t="inlineStr">
        <is>
          <t>ANM Community App — Monthly Platform Cost: Scale Scenarios Comparison | INR</t>
        </is>
      </c>
    </row>
    <row r="2" ht="14" customHeight="1">
      <c r="A2" s="117" t="inlineStr">
        <is>
          <t>Exchange rate: 1 USD ≈ ₹84 | Low = conservative MAU activity | High = peak MAU activity | ⚠️ Twilio Conversations = $0.05/active chat user/month</t>
        </is>
      </c>
    </row>
    <row r="4" ht="28" customHeight="1">
      <c r="A4" s="145" t="inlineStr">
        <is>
          <t>Service / Cost Driver</t>
        </is>
      </c>
      <c r="B4" s="146" t="inlineStr">
        <is>
          <t>500–1K Users
Low (₹)</t>
        </is>
      </c>
      <c r="C4" s="146" t="inlineStr">
        <is>
          <t>500–1K Users
High (₹)</t>
        </is>
      </c>
      <c r="D4" s="147" t="inlineStr">
        <is>
          <t>100K Users
Low (₹)</t>
        </is>
      </c>
      <c r="E4" s="147" t="inlineStr">
        <is>
          <t>100K Users
High (₹)</t>
        </is>
      </c>
      <c r="F4" s="145" t="inlineStr">
        <is>
          <t>Notes</t>
        </is>
      </c>
    </row>
    <row r="6" ht="22" customHeight="1">
      <c r="A6" s="136" t="inlineStr">
        <is>
          <t xml:space="preserve">  AWS — COMPUTE &amp; DATABASE</t>
        </is>
      </c>
    </row>
    <row r="7" ht="18" customHeight="1">
      <c r="A7" s="138" t="inlineStr">
        <is>
          <t>RDS PostgreSQL</t>
        </is>
      </c>
      <c r="B7" s="148" t="n">
        <v>18500</v>
      </c>
      <c r="C7" s="148" t="n">
        <v>18500</v>
      </c>
      <c r="D7" s="148" t="n">
        <v>30000</v>
      </c>
      <c r="E7" s="148" t="n">
        <v>30000</v>
      </c>
      <c r="F7" s="149" t="inlineStr">
        <is>
          <t>Upgraded: t4g.medium → r6g.large + 500 GB storage at 100K scale</t>
        </is>
      </c>
    </row>
    <row r="8" ht="18" customHeight="1">
      <c r="A8" s="137" t="inlineStr">
        <is>
          <t>ECS Fargate</t>
        </is>
      </c>
      <c r="B8" s="150" t="n">
        <v>12000</v>
      </c>
      <c r="C8" s="150" t="n">
        <v>12000</v>
      </c>
      <c r="D8" s="150" t="n">
        <v>28000</v>
      </c>
      <c r="E8" s="150" t="n">
        <v>45000</v>
      </c>
      <c r="F8" s="151" t="inlineStr">
        <is>
          <t>4–15 tasks (2 vCPU/4 GB) vs 2 tasks (1 vCPU/2 GB) at small scale</t>
        </is>
      </c>
    </row>
    <row r="9" ht="18" customHeight="1">
      <c r="A9" s="138" t="inlineStr">
        <is>
          <t>S3 + CloudFront CDN</t>
        </is>
      </c>
      <c r="B9" s="148" t="n">
        <v>6000</v>
      </c>
      <c r="C9" s="148" t="n">
        <v>6000</v>
      </c>
      <c r="D9" s="148" t="n">
        <v>20000</v>
      </c>
      <c r="E9" s="148" t="n">
        <v>40000</v>
      </c>
      <c r="F9" s="149" t="inlineStr">
        <is>
          <t>3–7 TB CDN egress at 100K vs 1 TB at small scale</t>
        </is>
      </c>
    </row>
    <row r="10" ht="18" customHeight="1">
      <c r="A10" s="137" t="inlineStr">
        <is>
          <t>CloudWatch + X-Ray</t>
        </is>
      </c>
      <c r="B10" s="150" t="n">
        <v>1500</v>
      </c>
      <c r="C10" s="150" t="n">
        <v>1500</v>
      </c>
      <c r="D10" s="150" t="n">
        <v>3500</v>
      </c>
      <c r="E10" s="150" t="n">
        <v>5000</v>
      </c>
      <c r="F10" s="151" t="inlineStr">
        <is>
          <t>Higher log volume and trace data at 100K</t>
        </is>
      </c>
    </row>
    <row r="11" ht="18" customHeight="1">
      <c r="A11" s="138" t="inlineStr">
        <is>
          <t>ALB + WAF</t>
        </is>
      </c>
      <c r="B11" s="148" t="n">
        <v>2000</v>
      </c>
      <c r="C11" s="148" t="n">
        <v>2000</v>
      </c>
      <c r="D11" s="148" t="n">
        <v>4500</v>
      </c>
      <c r="E11" s="148" t="n">
        <v>6000</v>
      </c>
      <c r="F11" s="149" t="inlineStr">
        <is>
          <t>WAF managed rules added at 100K; more LCUs</t>
        </is>
      </c>
    </row>
    <row r="12" ht="18" customHeight="1">
      <c r="A12" s="137" t="inlineStr">
        <is>
          <t>Route 53</t>
        </is>
      </c>
      <c r="B12" s="150" t="n">
        <v>500</v>
      </c>
      <c r="C12" s="150" t="n">
        <v>500</v>
      </c>
      <c r="D12" s="150" t="n">
        <v>500</v>
      </c>
      <c r="E12" s="150" t="n">
        <v>500</v>
      </c>
      <c r="F12" s="151" t="inlineStr">
        <is>
          <t>Unchanged</t>
        </is>
      </c>
    </row>
    <row r="13" ht="18" customHeight="1">
      <c r="A13" s="152" t="inlineStr">
        <is>
          <t>ElastiCache Redis</t>
        </is>
      </c>
      <c r="B13" s="153" t="inlineStr">
        <is>
          <t>–</t>
        </is>
      </c>
      <c r="C13" s="153" t="inlineStr">
        <is>
          <t>–</t>
        </is>
      </c>
      <c r="D13" s="154" t="n">
        <v>4200</v>
      </c>
      <c r="E13" s="154" t="n">
        <v>4200</v>
      </c>
      <c r="F13" s="155" t="inlineStr">
        <is>
          <t>NEW at 100K — caching essential for performance at scale</t>
        </is>
      </c>
    </row>
    <row r="14" ht="18" customHeight="1">
      <c r="A14" s="152" t="inlineStr">
        <is>
          <t>NAT Gateway</t>
        </is>
      </c>
      <c r="B14" s="153" t="inlineStr">
        <is>
          <t>–</t>
        </is>
      </c>
      <c r="C14" s="153" t="inlineStr">
        <is>
          <t>–</t>
        </is>
      </c>
      <c r="D14" s="154" t="n">
        <v>3000</v>
      </c>
      <c r="E14" s="154" t="n">
        <v>4500</v>
      </c>
      <c r="F14" s="155" t="inlineStr">
        <is>
          <t>NEW at 100K — required for ECS in private VPC subnet</t>
        </is>
      </c>
    </row>
    <row r="15" ht="18" customHeight="1">
      <c r="A15" s="138" t="inlineStr">
        <is>
          <t>AWS SES (email)</t>
        </is>
      </c>
      <c r="B15" s="148" t="n">
        <v>800</v>
      </c>
      <c r="C15" s="148" t="n">
        <v>800</v>
      </c>
      <c r="D15" s="148" t="n">
        <v>500</v>
      </c>
      <c r="E15" s="148" t="n">
        <v>800</v>
      </c>
      <c r="F15" s="149" t="inlineStr">
        <is>
          <t>Scaled email volume; SES replaces SendGrid at 100K</t>
        </is>
      </c>
    </row>
    <row r="16" ht="18" customHeight="1">
      <c r="A16" s="156" t="inlineStr">
        <is>
          <t>AWS Subtotal</t>
        </is>
      </c>
      <c r="B16" s="157" t="n">
        <v>41300</v>
      </c>
      <c r="C16" s="157" t="n">
        <v>41300</v>
      </c>
      <c r="D16" s="158" t="n">
        <v>94200</v>
      </c>
      <c r="E16" s="158" t="n">
        <v>136000</v>
      </c>
      <c r="F16" s="159" t="inlineStr">
        <is>
          <t>8 services at 500-1K scale → 9 services at 100K</t>
        </is>
      </c>
    </row>
    <row r="17" ht="22" customHeight="1">
      <c r="A17" s="139" t="inlineStr">
        <is>
          <t xml:space="preserve">  TWILIO — COMMUNICATIONS</t>
        </is>
      </c>
    </row>
    <row r="18" ht="18" customHeight="1">
      <c r="A18" s="137" t="inlineStr">
        <is>
          <t>Twilio Voice (VoIP)</t>
        </is>
      </c>
      <c r="B18" s="150" t="n">
        <v>2100</v>
      </c>
      <c r="C18" s="150" t="n">
        <v>2100</v>
      </c>
      <c r="D18" s="150" t="n">
        <v>8400</v>
      </c>
      <c r="E18" s="150" t="n">
        <v>21000</v>
      </c>
      <c r="F18" s="151" t="inlineStr">
        <is>
          <t>2K–5K min/mo at 100K vs 500 min/mo at small scale</t>
        </is>
      </c>
    </row>
    <row r="19" ht="18" customHeight="1">
      <c r="A19" s="138" t="inlineStr">
        <is>
          <t>Twilio SMS (OTP)</t>
        </is>
      </c>
      <c r="B19" s="148" t="n">
        <v>1225</v>
      </c>
      <c r="C19" s="148" t="n">
        <v>1225</v>
      </c>
      <c r="D19" s="148" t="n">
        <v>7350</v>
      </c>
      <c r="E19" s="148" t="n">
        <v>14700</v>
      </c>
      <c r="F19" s="149" t="inlineStr">
        <is>
          <t>1.5K–3K msgs/mo at 100K vs 250 at small scale</t>
        </is>
      </c>
    </row>
    <row r="20" ht="18" customHeight="1">
      <c r="A20" s="152" t="inlineStr">
        <is>
          <t>⚠️ Twilio Conversations</t>
        </is>
      </c>
      <c r="B20" s="160" t="n">
        <v>1500</v>
      </c>
      <c r="C20" s="160" t="n">
        <v>1500</v>
      </c>
      <c r="D20" s="154" t="n">
        <v>42000</v>
      </c>
      <c r="E20" s="154" t="n">
        <v>84000</v>
      </c>
      <c r="F20" s="155" t="inlineStr">
        <is>
          <t>⚠️ CRITICAL: $0.05/MAU. 10K MAU=₹42K; 20K MAU=₹84K. Biggest cost driver at 100K</t>
        </is>
      </c>
    </row>
    <row r="21" ht="18" customHeight="1">
      <c r="A21" s="156" t="inlineStr">
        <is>
          <t>Twilio Subtotal</t>
        </is>
      </c>
      <c r="B21" s="157" t="n">
        <v>4825</v>
      </c>
      <c r="C21" s="157" t="n">
        <v>4825</v>
      </c>
      <c r="D21" s="158" t="n">
        <v>57750</v>
      </c>
      <c r="E21" s="158" t="n">
        <v>119700</v>
      </c>
      <c r="F21" s="159" t="inlineStr">
        <is>
          <t>Twilio Conversations dominates at scale</t>
        </is>
      </c>
    </row>
    <row r="22" ht="22" customHeight="1">
      <c r="A22" s="140" t="inlineStr">
        <is>
          <t xml:space="preserve">  FIREBASE — AUTH &amp; NOTIFICATIONS</t>
        </is>
      </c>
    </row>
    <row r="23" ht="18" customHeight="1">
      <c r="A23" s="138" t="inlineStr">
        <is>
          <t>Firebase Auth (email/Google)</t>
        </is>
      </c>
      <c r="B23" s="161" t="inlineStr">
        <is>
          <t>Free</t>
        </is>
      </c>
      <c r="C23" s="161" t="inlineStr">
        <is>
          <t>Free</t>
        </is>
      </c>
      <c r="D23" s="161" t="inlineStr">
        <is>
          <t>Free</t>
        </is>
      </c>
      <c r="E23" s="161" t="inlineStr">
        <is>
          <t>Free</t>
        </is>
      </c>
      <c r="F23" s="149" t="inlineStr">
        <is>
          <t>Free at any scale for email/password + Google OAuth</t>
        </is>
      </c>
    </row>
    <row r="24" ht="18" customHeight="1">
      <c r="A24" s="137" t="inlineStr">
        <is>
          <t>Firebase Auth (phone OTP)</t>
        </is>
      </c>
      <c r="B24" s="162" t="inlineStr">
        <is>
          <t>Free</t>
        </is>
      </c>
      <c r="C24" s="162" t="inlineStr">
        <is>
          <t>Free</t>
        </is>
      </c>
      <c r="D24" s="150" t="n">
        <v>504</v>
      </c>
      <c r="E24" s="150" t="n">
        <v>1008</v>
      </c>
      <c r="F24" s="151" t="inlineStr">
        <is>
          <t>New at 100K — ~1,000 phone OTP verifications/mo for new signups</t>
        </is>
      </c>
    </row>
    <row r="25" ht="18" customHeight="1">
      <c r="A25" s="138" t="inlineStr">
        <is>
          <t>Firebase FCM (push)</t>
        </is>
      </c>
      <c r="B25" s="161" t="inlineStr">
        <is>
          <t>Free</t>
        </is>
      </c>
      <c r="C25" s="161" t="inlineStr">
        <is>
          <t>Free</t>
        </is>
      </c>
      <c r="D25" s="161" t="inlineStr">
        <is>
          <t>Free</t>
        </is>
      </c>
      <c r="E25" s="161" t="inlineStr">
        <is>
          <t>Free</t>
        </is>
      </c>
      <c r="F25" s="149" t="inlineStr">
        <is>
          <t>Free at any scale — unlimited push notifications</t>
        </is>
      </c>
    </row>
    <row r="26" ht="18" customHeight="1">
      <c r="A26" s="156" t="inlineStr">
        <is>
          <t>Firebase Subtotal</t>
        </is>
      </c>
      <c r="B26" s="157" t="n">
        <v>0</v>
      </c>
      <c r="C26" s="157" t="n">
        <v>0</v>
      </c>
      <c r="D26" s="158" t="n">
        <v>504</v>
      </c>
      <c r="E26" s="158" t="n">
        <v>1008</v>
      </c>
      <c r="F26" s="159" t="inlineStr">
        <is>
          <t>Essentially free even at 100K if using email/Google auth</t>
        </is>
      </c>
    </row>
    <row r="27" ht="22" customHeight="1">
      <c r="A27" s="163" t="inlineStr">
        <is>
          <t xml:space="preserve">  SCENARIO A — WITH Twilio Conversations</t>
        </is>
      </c>
    </row>
    <row r="28" ht="18" customHeight="1">
      <c r="A28" s="156" t="inlineStr">
        <is>
          <t>Total Monthly (with Twilio Chat)</t>
        </is>
      </c>
      <c r="B28" s="157" t="n">
        <v>46125</v>
      </c>
      <c r="C28" s="157" t="n">
        <v>46125</v>
      </c>
      <c r="D28" s="158" t="n">
        <v>152454</v>
      </c>
      <c r="E28" s="158" t="n">
        <v>256708</v>
      </c>
      <c r="F28" s="159" t="inlineStr">
        <is>
          <t>Full Twilio stack — Conversations SDK for in-app chat</t>
        </is>
      </c>
    </row>
    <row r="29" ht="22" customHeight="1">
      <c r="A29" s="163" t="inlineStr">
        <is>
          <t xml:space="preserve">  SCENARIO B — WITHOUT Twilio Conversations (SignalR + PostgreSQL)</t>
        </is>
      </c>
    </row>
    <row r="30" ht="18" customHeight="1">
      <c r="A30" s="137" t="inlineStr">
        <is>
          <t>SignalR + PostgreSQL Chat</t>
        </is>
      </c>
      <c r="B30" s="162" t="inlineStr">
        <is>
          <t>Free</t>
        </is>
      </c>
      <c r="C30" s="162" t="inlineStr">
        <is>
          <t>Free</t>
        </is>
      </c>
      <c r="D30" s="162" t="inlineStr">
        <is>
          <t>Free</t>
        </is>
      </c>
      <c r="E30" s="162" t="inlineStr">
        <is>
          <t>Free</t>
        </is>
      </c>
      <c r="F30" s="151" t="inlineStr">
        <is>
          <t>Built into .NET 8 + existing RDS — zero additional monthly cost</t>
        </is>
      </c>
    </row>
    <row r="31" ht="18" customHeight="1">
      <c r="A31" s="156" t="inlineStr">
        <is>
          <t>Total Monthly (SignalR chat)</t>
        </is>
      </c>
      <c r="B31" s="157" t="n">
        <v>44625</v>
      </c>
      <c r="C31" s="157" t="n">
        <v>44625</v>
      </c>
      <c r="D31" s="158" t="n">
        <v>110454</v>
      </c>
      <c r="E31" s="158" t="n">
        <v>172708</v>
      </c>
      <c r="F31" s="159" t="inlineStr">
        <is>
          <t>Recommended at 100K — saves ₹42K–84K/mo vs Twilio Conversations</t>
        </is>
      </c>
    </row>
    <row r="32" ht="18" customHeight="1">
      <c r="A32" s="152" t="inlineStr">
        <is>
          <t>Monthly Saving vs Scenario A</t>
        </is>
      </c>
      <c r="B32" s="160" t="n">
        <v>1500</v>
      </c>
      <c r="C32" s="160" t="n">
        <v>1500</v>
      </c>
      <c r="D32" s="154" t="n">
        <v>42000</v>
      </c>
      <c r="E32" s="154" t="n">
        <v>84000</v>
      </c>
      <c r="F32" s="155" t="inlineStr">
        <is>
          <t>Switch from Twilio Conversations to SignalR saves this amount per month</t>
        </is>
      </c>
    </row>
    <row r="33" ht="18" customHeight="1">
      <c r="A33" s="152" t="inlineStr">
        <is>
          <t>Annual Saving vs Scenario A</t>
        </is>
      </c>
      <c r="B33" s="160" t="n">
        <v>18000</v>
      </c>
      <c r="C33" s="160" t="n">
        <v>18000</v>
      </c>
      <c r="D33" s="154" t="n">
        <v>504000</v>
      </c>
      <c r="E33" s="154" t="n">
        <v>1008000</v>
      </c>
      <c r="F33" s="155" t="inlineStr">
        <is>
          <t>₹5.04 lakh – ₹10.08 lakh per year saved by using SignalR for chat</t>
        </is>
      </c>
    </row>
    <row r="35" ht="32" customHeight="1">
      <c r="A35" s="164" t="inlineStr">
        <is>
          <t>✅  RECOMMENDATION: Use SignalR + PostgreSQL for member-to-member chat (already in your .NET 8 stack — zero extra cost). Reserve Twilio for VoIP calls + SMS OTP only. At 100K members this saves ₹42,000–₹84,000 per month (₹5–10 lakh/year). Twilio Conversations only makes sense if you need cross-platform chat history, typing indicators, and rich media outside the app context.</t>
        </is>
      </c>
    </row>
    <row r="37" ht="20" customHeight="1">
      <c r="A37" s="165" t="inlineStr">
        <is>
          <t>⚠️  AWS cost grows ~3.5× from 500-1K to 100K members due to: larger RDS instance class, more ECS tasks, significantly higher CloudFront egress, and two new mandatory services (ElastiCache + NAT Gateway). All costs are estimates; review quarterly and right-size as user base is confirmed.</t>
        </is>
      </c>
    </row>
  </sheetData>
  <mergeCells count="9">
    <mergeCell ref="A2:F2"/>
    <mergeCell ref="A1:F1"/>
    <mergeCell ref="A37:F37"/>
    <mergeCell ref="A27:F27"/>
    <mergeCell ref="A6:F6"/>
    <mergeCell ref="A22:F22"/>
    <mergeCell ref="A17:F17"/>
    <mergeCell ref="A35:F35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2026-06-14T18:54:58Z</dcterms:created>
  <dcterms:modified xsi:type="dcterms:W3CDTF">2026-06-14T18:54:58Z</dcterms:modified>
</cp:coreProperties>
</file>